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母集団_2024-2026" sheetId="2" state="visible" r:id="rId4"/>
    <sheet name="集計" sheetId="3" state="visible" r:id="rId5"/>
    <sheet name="再発パターン" sheetId="4" state="visible" r:id="rId6"/>
    <sheet name="事例6件_調書" sheetId="5" state="visible" r:id="rId7"/>
    <sheet name="事前依頼リスト" sheetId="6" state="visible" r:id="rId8"/>
    <sheet name="全件_2020-2026" sheetId="7" state="visible" r:id="rId9"/>
  </sheets>
  <definedNames>
    <definedName function="false" hidden="true" localSheetId="6" name="_xlnm._FilterDatabase" vbProcedure="false">'全件_2020-2026'!$A$1:$N$83</definedName>
    <definedName function="false" hidden="true" localSheetId="1" name="_xlnm._FilterDatabase" vbProcedure="false">'母集団_2024-2026'!$A$1:$Z$33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U1" authorId="0">
      <text>
        <r>
          <rPr>
            <sz val="10"/>
            <rFont val="WenQuanYi Zen Hei"/>
            <family val="2"/>
          </rPr>
          <t xml:space="preserve">数式で自動判定。完了予定日が空欄なら期限判定はスキップ。</t>
        </r>
      </text>
    </comment>
  </commentList>
</comments>
</file>

<file path=xl/sharedStrings.xml><?xml version="1.0" encoding="utf-8"?>
<sst xmlns="http://schemas.openxmlformats.org/spreadsheetml/2006/main" count="1397" uniqueCount="677">
  <si>
    <r>
      <rPr>
        <b val="true"/>
        <sz val="14"/>
        <rFont val="WenQuanYi Zen Hei"/>
        <family val="2"/>
      </rPr>
      <t xml:space="preserve">第</t>
    </r>
    <r>
      <rPr>
        <b val="true"/>
        <sz val="14"/>
        <rFont val="Arial"/>
        <family val="0"/>
        <charset val="1"/>
      </rPr>
      <t xml:space="preserve">13</t>
    </r>
    <r>
      <rPr>
        <b val="true"/>
        <sz val="14"/>
        <rFont val="WenQuanYi Zen Hei"/>
        <family val="2"/>
      </rPr>
      <t xml:space="preserve">期 内部監査（</t>
    </r>
    <r>
      <rPr>
        <b val="true"/>
        <sz val="14"/>
        <rFont val="Arial"/>
        <family val="0"/>
        <charset val="1"/>
      </rPr>
      <t xml:space="preserve">SCMG</t>
    </r>
    <r>
      <rPr>
        <b val="true"/>
        <sz val="14"/>
        <rFont val="WenQuanYi Zen Hei"/>
        <family val="2"/>
      </rPr>
      <t xml:space="preserve">）母集団・サンプルリスト ― インシデント恒久対応策の運用監査</t>
    </r>
  </si>
  <si>
    <r>
      <rPr>
        <sz val="10"/>
        <rFont val="WenQuanYi Zen Hei"/>
        <family val="2"/>
      </rPr>
      <t xml:space="preserve">作成日：</t>
    </r>
    <r>
      <rPr>
        <sz val="10"/>
        <rFont val="Arial"/>
        <family val="0"/>
        <charset val="1"/>
      </rPr>
      <t xml:space="preserve">2026/10/13</t>
    </r>
    <r>
      <rPr>
        <sz val="10"/>
        <rFont val="WenQuanYi Zen Hei"/>
        <family val="2"/>
      </rPr>
      <t xml:space="preserve">　出典：【</t>
    </r>
    <r>
      <rPr>
        <sz val="10"/>
        <rFont val="Arial"/>
        <family val="0"/>
        <charset val="1"/>
      </rPr>
      <t xml:space="preserve">SCMG</t>
    </r>
    <r>
      <rPr>
        <sz val="10"/>
        <rFont val="WenQuanYi Zen Hei"/>
        <family val="2"/>
      </rPr>
      <t xml:space="preserve">】インシデント管理シート（</t>
    </r>
    <r>
      <rPr>
        <sz val="10"/>
        <rFont val="Arial"/>
        <family val="0"/>
        <charset val="1"/>
      </rPr>
      <t xml:space="preserve">https://docs.google.com/spreadsheets/d/17NCGQXYveGqJzdmtqglT3GNkxo_pvol41Q8K_QYao9Q/ </t>
    </r>
    <r>
      <rPr>
        <sz val="10"/>
        <rFont val="WenQuanYi Zen Hei"/>
        <family val="2"/>
      </rPr>
      <t xml:space="preserve">）の</t>
    </r>
    <r>
      <rPr>
        <sz val="10"/>
        <rFont val="Arial"/>
        <family val="0"/>
        <charset val="1"/>
      </rPr>
      <t xml:space="preserve">2026/06/05</t>
    </r>
    <r>
      <rPr>
        <sz val="10"/>
        <rFont val="WenQuanYi Zen Hei"/>
        <family val="2"/>
      </rPr>
      <t xml:space="preserve">時点データ</t>
    </r>
  </si>
  <si>
    <t xml:space="preserve">■ シート構成</t>
  </si>
  <si>
    <r>
      <rPr>
        <sz val="10"/>
        <rFont val="WenQuanYi Zen Hei"/>
        <family val="2"/>
      </rPr>
      <t xml:space="preserve">・母集団</t>
    </r>
    <r>
      <rPr>
        <sz val="10"/>
        <rFont val="Arial"/>
        <family val="0"/>
        <charset val="1"/>
      </rPr>
      <t xml:space="preserve">_2024-2026</t>
    </r>
    <r>
      <rPr>
        <sz val="10"/>
        <rFont val="WenQuanYi Zen Hei"/>
        <family val="2"/>
      </rPr>
      <t xml:space="preserve">：</t>
    </r>
    <r>
      <rPr>
        <sz val="10"/>
        <rFont val="Arial"/>
        <family val="0"/>
        <charset val="1"/>
      </rPr>
      <t xml:space="preserve">SCMG</t>
    </r>
    <r>
      <rPr>
        <sz val="10"/>
        <rFont val="WenQuanYi Zen Hei"/>
        <family val="2"/>
      </rPr>
      <t xml:space="preserve">の</t>
    </r>
    <r>
      <rPr>
        <sz val="10"/>
        <rFont val="Arial"/>
        <family val="0"/>
        <charset val="1"/>
      </rPr>
      <t xml:space="preserve">2024</t>
    </r>
    <r>
      <rPr>
        <sz val="10"/>
        <rFont val="WenQuanYi Zen Hei"/>
        <family val="2"/>
      </rPr>
      <t xml:space="preserve">〜</t>
    </r>
    <r>
      <rPr>
        <sz val="10"/>
        <rFont val="Arial"/>
        <family val="0"/>
        <charset val="1"/>
      </rPr>
      <t xml:space="preserve">2026</t>
    </r>
    <r>
      <rPr>
        <sz val="10"/>
        <rFont val="WenQuanYi Zen Hei"/>
        <family val="2"/>
      </rPr>
      <t xml:space="preserve">年発見インシデント</t>
    </r>
    <r>
      <rPr>
        <sz val="10"/>
        <rFont val="Arial"/>
        <family val="0"/>
        <charset val="1"/>
      </rPr>
      <t xml:space="preserve">32</t>
    </r>
    <r>
      <rPr>
        <sz val="10"/>
        <rFont val="WenQuanYi Zen Hei"/>
        <family val="2"/>
      </rPr>
      <t xml:space="preserve">件（他</t>
    </r>
    <r>
      <rPr>
        <sz val="10"/>
        <rFont val="Arial"/>
        <family val="0"/>
        <charset val="1"/>
      </rPr>
      <t xml:space="preserve">G</t>
    </r>
    <r>
      <rPr>
        <sz val="10"/>
        <rFont val="WenQuanYi Zen Hei"/>
        <family val="2"/>
      </rPr>
      <t xml:space="preserve">で起票</t>
    </r>
    <r>
      <rPr>
        <sz val="10"/>
        <rFont val="Arial"/>
        <family val="0"/>
        <charset val="1"/>
      </rPr>
      <t xml:space="preserve">1</t>
    </r>
    <r>
      <rPr>
        <sz val="10"/>
        <rFont val="WenQuanYi Zen Hei"/>
        <family val="2"/>
      </rPr>
      <t xml:space="preserve">件を含む）。</t>
    </r>
    <r>
      <rPr>
        <sz val="10"/>
        <rFont val="Arial"/>
        <family val="0"/>
        <charset val="1"/>
      </rPr>
      <t xml:space="preserve">G1</t>
    </r>
    <r>
      <rPr>
        <sz val="10"/>
        <rFont val="WenQuanYi Zen Hei"/>
        <family val="2"/>
      </rPr>
      <t xml:space="preserve">承認・</t>
    </r>
    <r>
      <rPr>
        <sz val="10"/>
        <rFont val="Arial"/>
        <family val="0"/>
        <charset val="1"/>
      </rPr>
      <t xml:space="preserve">G4</t>
    </r>
    <r>
      <rPr>
        <sz val="10"/>
        <rFont val="WenQuanYi Zen Hei"/>
        <family val="2"/>
      </rPr>
      <t xml:space="preserve">完了確認・ステータスは数式で自動判定。サンプル区分と確認観点は監査人の事前判断（手入力）。</t>
    </r>
  </si>
  <si>
    <r>
      <rPr>
        <sz val="10"/>
        <rFont val="WenQuanYi Zen Hei"/>
        <family val="2"/>
      </rPr>
      <t xml:space="preserve">・集計：年別</t>
    </r>
    <r>
      <rPr>
        <sz val="10"/>
        <rFont val="Arial"/>
        <family val="0"/>
        <charset val="1"/>
      </rPr>
      <t xml:space="preserve">×</t>
    </r>
    <r>
      <rPr>
        <sz val="10"/>
        <rFont val="WenQuanYi Zen Hei"/>
        <family val="2"/>
      </rPr>
      <t xml:space="preserve">レベル別、原因分類、記録状況（すべて母集団シートを参照する数式）。</t>
    </r>
  </si>
  <si>
    <r>
      <rPr>
        <sz val="10"/>
        <rFont val="WenQuanYi Zen Hei"/>
        <family val="2"/>
      </rPr>
      <t xml:space="preserve">・再発パターン：</t>
    </r>
    <r>
      <rPr>
        <sz val="10"/>
        <rFont val="Arial"/>
        <family val="0"/>
        <charset val="1"/>
      </rPr>
      <t xml:space="preserve">2020</t>
    </r>
    <r>
      <rPr>
        <sz val="10"/>
        <rFont val="WenQuanYi Zen Hei"/>
        <family val="2"/>
      </rPr>
      <t xml:space="preserve">〜</t>
    </r>
    <r>
      <rPr>
        <sz val="10"/>
        <rFont val="Arial"/>
        <family val="0"/>
        <charset val="1"/>
      </rPr>
      <t xml:space="preserve">2026</t>
    </r>
    <r>
      <rPr>
        <sz val="10"/>
        <rFont val="WenQuanYi Zen Hei"/>
        <family val="2"/>
      </rPr>
      <t xml:space="preserve">年の全件から同型事象を整理。恒久対応が機能しているかを判断する材料。</t>
    </r>
  </si>
  <si>
    <r>
      <rPr>
        <sz val="10"/>
        <rFont val="WenQuanYi Zen Hei"/>
        <family val="2"/>
      </rPr>
      <t xml:space="preserve">・事例</t>
    </r>
    <r>
      <rPr>
        <sz val="10"/>
        <rFont val="Arial"/>
        <family val="0"/>
        <charset val="1"/>
      </rPr>
      <t xml:space="preserve">6</t>
    </r>
    <r>
      <rPr>
        <sz val="10"/>
        <rFont val="WenQuanYi Zen Hei"/>
        <family val="2"/>
      </rPr>
      <t xml:space="preserve">件</t>
    </r>
    <r>
      <rPr>
        <sz val="10"/>
        <rFont val="Arial"/>
        <family val="0"/>
        <charset val="1"/>
      </rPr>
      <t xml:space="preserve">_</t>
    </r>
    <r>
      <rPr>
        <sz val="10"/>
        <rFont val="WenQuanYi Zen Hei"/>
        <family val="2"/>
      </rPr>
      <t xml:space="preserve">調書：監査調書テンプレ（</t>
    </r>
    <r>
      <rPr>
        <sz val="10"/>
        <rFont val="Arial"/>
        <family val="0"/>
        <charset val="1"/>
      </rPr>
      <t xml:space="preserve">templates/02</t>
    </r>
    <r>
      <rPr>
        <sz val="10"/>
        <rFont val="WenQuanYi Zen Hei"/>
        <family val="2"/>
      </rPr>
      <t xml:space="preserve">）を</t>
    </r>
    <r>
      <rPr>
        <sz val="10"/>
        <rFont val="Arial"/>
        <family val="0"/>
        <charset val="1"/>
      </rPr>
      <t xml:space="preserve">6</t>
    </r>
    <r>
      <rPr>
        <sz val="10"/>
        <rFont val="WenQuanYi Zen Hei"/>
        <family val="2"/>
      </rPr>
      <t xml:space="preserve">事例分に展開。黄色セルを監査当日に記入。</t>
    </r>
  </si>
  <si>
    <t xml:space="preserve">・事前依頼リスト：監査実施通知（●）に添付して、現物を準備してもらうための一覧。</t>
  </si>
  <si>
    <r>
      <rPr>
        <sz val="10"/>
        <rFont val="WenQuanYi Zen Hei"/>
        <family val="2"/>
      </rPr>
      <t xml:space="preserve">・全件</t>
    </r>
    <r>
      <rPr>
        <sz val="10"/>
        <rFont val="Arial"/>
        <family val="0"/>
        <charset val="1"/>
      </rPr>
      <t xml:space="preserve">_2020-2026</t>
    </r>
    <r>
      <rPr>
        <sz val="10"/>
        <rFont val="WenQuanYi Zen Hei"/>
        <family val="2"/>
      </rPr>
      <t xml:space="preserve">：参照用の全</t>
    </r>
    <r>
      <rPr>
        <sz val="10"/>
        <rFont val="Arial"/>
        <family val="0"/>
        <charset val="1"/>
      </rPr>
      <t xml:space="preserve">82</t>
    </r>
    <r>
      <rPr>
        <sz val="10"/>
        <rFont val="WenQuanYi Zen Hei"/>
        <family val="2"/>
      </rPr>
      <t xml:space="preserve">件（主要列のみ）。</t>
    </r>
  </si>
  <si>
    <t xml:space="preserve">■ 判定記号（数式）</t>
  </si>
  <si>
    <r>
      <rPr>
        <sz val="10"/>
        <rFont val="Arial"/>
        <family val="0"/>
        <charset val="1"/>
      </rPr>
      <t xml:space="preserve">G1 </t>
    </r>
    <r>
      <rPr>
        <sz val="10"/>
        <rFont val="WenQuanYi Zen Hei"/>
        <family val="2"/>
      </rPr>
      <t xml:space="preserve">承認：○＝承認者と承認日あり／△＝承認者のみで承認日なし／</t>
    </r>
    <r>
      <rPr>
        <sz val="10"/>
        <rFont val="Arial"/>
        <family val="0"/>
        <charset val="1"/>
      </rPr>
      <t xml:space="preserve">×</t>
    </r>
    <r>
      <rPr>
        <sz val="10"/>
        <rFont val="WenQuanYi Zen Hei"/>
        <family val="2"/>
      </rPr>
      <t xml:space="preserve">＝承認形跡なし</t>
    </r>
  </si>
  <si>
    <r>
      <rPr>
        <sz val="10"/>
        <rFont val="Arial"/>
        <family val="0"/>
        <charset val="1"/>
      </rPr>
      <t xml:space="preserve">G4 </t>
    </r>
    <r>
      <rPr>
        <sz val="10"/>
        <rFont val="WenQuanYi Zen Hei"/>
        <family val="2"/>
      </rPr>
      <t xml:space="preserve">完了確認：○＝対応完了日あり／</t>
    </r>
    <r>
      <rPr>
        <sz val="10"/>
        <rFont val="Arial"/>
        <family val="0"/>
        <charset val="1"/>
      </rPr>
      <t xml:space="preserve">×</t>
    </r>
    <r>
      <rPr>
        <sz val="10"/>
        <rFont val="WenQuanYi Zen Hei"/>
        <family val="2"/>
      </rPr>
      <t xml:space="preserve">＝未記入（事務局の完了確認日列は</t>
    </r>
    <r>
      <rPr>
        <sz val="10"/>
        <rFont val="Arial"/>
        <family val="0"/>
        <charset val="1"/>
      </rPr>
      <t xml:space="preserve">SCMG</t>
    </r>
    <r>
      <rPr>
        <sz val="10"/>
        <rFont val="WenQuanYi Zen Hei"/>
        <family val="2"/>
      </rPr>
      <t xml:space="preserve">シートに無いため、対応完了日で代替）</t>
    </r>
  </si>
  <si>
    <t xml:space="preserve">ステータス：恒久対応策が空欄→「対策未記載」、承認日なし→「承認日なし」、完了予定超過かつ未完了→「期限超過」、完了日あり→「完了（有効性未評価）」、それ以外→「対応中（期限未設定）」</t>
  </si>
  <si>
    <t xml:space="preserve">■ 色の意味</t>
  </si>
  <si>
    <r>
      <rPr>
        <sz val="10"/>
        <rFont val="WenQuanYi Zen Hei"/>
        <family val="2"/>
      </rPr>
      <t xml:space="preserve">黄色：監査当日に記入するセル　灰色：数式（編集不要）　薄赤：恒久対応策が空欄のレベル</t>
    </r>
    <r>
      <rPr>
        <sz val="10"/>
        <rFont val="Arial"/>
        <family val="0"/>
        <charset val="1"/>
      </rPr>
      <t xml:space="preserve">3</t>
    </r>
    <r>
      <rPr>
        <sz val="10"/>
        <rFont val="WenQuanYi Zen Hei"/>
        <family val="2"/>
      </rPr>
      <t xml:space="preserve">案件</t>
    </r>
  </si>
  <si>
    <t xml:space="preserve">■ 留意点</t>
  </si>
  <si>
    <r>
      <rPr>
        <sz val="10"/>
        <rFont val="WenQuanYi Zen Hei"/>
        <family val="2"/>
      </rPr>
      <t xml:space="preserve">・レベル</t>
    </r>
    <r>
      <rPr>
        <sz val="10"/>
        <rFont val="Arial"/>
        <family val="0"/>
        <charset val="1"/>
      </rPr>
      <t xml:space="preserve">3</t>
    </r>
    <r>
      <rPr>
        <sz val="10"/>
        <rFont val="WenQuanYi Zen Hei"/>
        <family val="2"/>
      </rPr>
      <t xml:space="preserve">・</t>
    </r>
    <r>
      <rPr>
        <sz val="10"/>
        <rFont val="Arial"/>
        <family val="0"/>
        <charset val="1"/>
      </rPr>
      <t xml:space="preserve">19</t>
    </r>
    <r>
      <rPr>
        <sz val="10"/>
        <rFont val="WenQuanYi Zen Hei"/>
        <family val="2"/>
      </rPr>
      <t xml:space="preserve">件中、恒久対応策が空欄のものが</t>
    </r>
    <r>
      <rPr>
        <sz val="10"/>
        <rFont val="Arial"/>
        <family val="0"/>
        <charset val="1"/>
      </rPr>
      <t xml:space="preserve">6</t>
    </r>
    <r>
      <rPr>
        <sz val="10"/>
        <rFont val="WenQuanYi Zen Hei"/>
        <family val="2"/>
      </rPr>
      <t xml:space="preserve">件（</t>
    </r>
    <r>
      <rPr>
        <sz val="10"/>
        <rFont val="Arial"/>
        <family val="0"/>
        <charset val="1"/>
      </rPr>
      <t xml:space="preserve">#69,70,71,73,74,80</t>
    </r>
    <r>
      <rPr>
        <sz val="10"/>
        <rFont val="WenQuanYi Zen Hei"/>
        <family val="2"/>
      </rPr>
      <t xml:space="preserve">）。多くが配送業者・委託先起因だが「対応不要」の判断記録もない。</t>
    </r>
  </si>
  <si>
    <r>
      <rPr>
        <sz val="10"/>
        <rFont val="WenQuanYi Zen Hei"/>
        <family val="2"/>
      </rPr>
      <t xml:space="preserve">・</t>
    </r>
    <r>
      <rPr>
        <sz val="10"/>
        <rFont val="Arial"/>
        <family val="0"/>
        <charset val="1"/>
      </rPr>
      <t xml:space="preserve">SCMG</t>
    </r>
    <r>
      <rPr>
        <sz val="10"/>
        <rFont val="WenQuanYi Zen Hei"/>
        <family val="2"/>
      </rPr>
      <t xml:space="preserve">シートの最終更新は</t>
    </r>
    <r>
      <rPr>
        <sz val="10"/>
        <rFont val="Arial"/>
        <family val="0"/>
        <charset val="1"/>
      </rPr>
      <t xml:space="preserve">2026/06/05</t>
    </r>
    <r>
      <rPr>
        <sz val="10"/>
        <rFont val="WenQuanYi Zen Hei"/>
        <family val="2"/>
      </rPr>
      <t xml:space="preserve">。</t>
    </r>
    <r>
      <rPr>
        <sz val="10"/>
        <rFont val="Arial"/>
        <family val="0"/>
        <charset val="1"/>
      </rPr>
      <t xml:space="preserve">2026</t>
    </r>
    <r>
      <rPr>
        <sz val="10"/>
        <rFont val="WenQuanYi Zen Hei"/>
        <family val="2"/>
      </rPr>
      <t xml:space="preserve">年</t>
    </r>
    <r>
      <rPr>
        <sz val="10"/>
        <rFont val="Arial"/>
        <family val="0"/>
        <charset val="1"/>
      </rPr>
      <t xml:space="preserve">6</t>
    </r>
    <r>
      <rPr>
        <sz val="10"/>
        <rFont val="WenQuanYi Zen Hei"/>
        <family val="2"/>
      </rPr>
      <t xml:space="preserve">月以降の起票がないため、監査時に未起票インシデントの有無（固定設問</t>
    </r>
    <r>
      <rPr>
        <sz val="10"/>
        <rFont val="Arial"/>
        <family val="0"/>
        <charset val="1"/>
      </rPr>
      <t xml:space="preserve">No.17</t>
    </r>
    <r>
      <rPr>
        <sz val="10"/>
        <rFont val="WenQuanYi Zen Hei"/>
        <family val="2"/>
      </rPr>
      <t xml:space="preserve">）を確認する。</t>
    </r>
  </si>
  <si>
    <r>
      <rPr>
        <sz val="10"/>
        <rFont val="WenQuanYi Zen Hei"/>
        <family val="2"/>
      </rPr>
      <t xml:space="preserve">・</t>
    </r>
    <r>
      <rPr>
        <sz val="10"/>
        <rFont val="Arial"/>
        <family val="0"/>
        <charset val="1"/>
      </rPr>
      <t xml:space="preserve">2023</t>
    </r>
    <r>
      <rPr>
        <sz val="10"/>
        <rFont val="WenQuanYi Zen Hei"/>
        <family val="2"/>
      </rPr>
      <t xml:space="preserve">年</t>
    </r>
    <r>
      <rPr>
        <sz val="10"/>
        <rFont val="Arial"/>
        <family val="0"/>
        <charset val="1"/>
      </rPr>
      <t xml:space="preserve">9</t>
    </r>
    <r>
      <rPr>
        <sz val="10"/>
        <rFont val="WenQuanYi Zen Hei"/>
        <family val="2"/>
      </rPr>
      <t xml:space="preserve">月以前は原因分類が「有／無」（システム起因の有無）で記録されており、現行分類（業務起因</t>
    </r>
    <r>
      <rPr>
        <sz val="10"/>
        <rFont val="Arial"/>
        <family val="0"/>
        <charset val="1"/>
      </rPr>
      <t xml:space="preserve">_</t>
    </r>
    <r>
      <rPr>
        <sz val="10"/>
        <rFont val="WenQuanYi Zen Hei"/>
        <family val="2"/>
      </rPr>
      <t xml:space="preserve">作業起因 等）とは比較できない。</t>
    </r>
  </si>
  <si>
    <t xml:space="preserve">No</t>
  </si>
  <si>
    <r>
      <rPr>
        <b val="true"/>
        <sz val="10"/>
        <color rgb="FFFFFFFF"/>
        <rFont val="WenQuanYi Zen Hei"/>
        <family val="2"/>
      </rPr>
      <t xml:space="preserve">ユニーク</t>
    </r>
    <r>
      <rPr>
        <b val="true"/>
        <sz val="10"/>
        <color rgb="FFFFFFFF"/>
        <rFont val="Arial"/>
        <family val="0"/>
        <charset val="1"/>
      </rPr>
      <t xml:space="preserve">ID</t>
    </r>
  </si>
  <si>
    <t xml:space="preserve">サービス</t>
  </si>
  <si>
    <t xml:space="preserve">発生日</t>
  </si>
  <si>
    <t xml:space="preserve">発見日</t>
  </si>
  <si>
    <t xml:space="preserve">発見年</t>
  </si>
  <si>
    <t xml:space="preserve">課題タイトル</t>
  </si>
  <si>
    <t xml:space="preserve">原因分類</t>
  </si>
  <si>
    <t xml:space="preserve">レベル</t>
  </si>
  <si>
    <t xml:space="preserve">影響範囲</t>
  </si>
  <si>
    <t xml:space="preserve">会計影響</t>
  </si>
  <si>
    <t xml:space="preserve">恒久対応策（抜粋）</t>
  </si>
  <si>
    <r>
      <rPr>
        <b val="true"/>
        <sz val="10"/>
        <color rgb="FFFFFFFF"/>
        <rFont val="WenQuanYi Zen Hei"/>
        <family val="2"/>
      </rPr>
      <t xml:space="preserve">恒久対応</t>
    </r>
    <r>
      <rPr>
        <b val="true"/>
        <sz val="10"/>
        <color rgb="FFFFFFFF"/>
        <rFont val="Arial"/>
        <family val="0"/>
        <charset val="1"/>
      </rPr>
      <t xml:space="preserve">PL</t>
    </r>
  </si>
  <si>
    <t xml:space="preserve">恒久対応承認者</t>
  </si>
  <si>
    <t xml:space="preserve">恒久対応承認日</t>
  </si>
  <si>
    <t xml:space="preserve">完了予定日</t>
  </si>
  <si>
    <t xml:space="preserve">対応完了日</t>
  </si>
  <si>
    <t xml:space="preserve">恒久対応の有効性</t>
  </si>
  <si>
    <r>
      <rPr>
        <b val="true"/>
        <sz val="10"/>
        <color rgb="FFFFFFFF"/>
        <rFont val="Arial"/>
        <family val="0"/>
        <charset val="1"/>
      </rPr>
      <t xml:space="preserve">G1 </t>
    </r>
    <r>
      <rPr>
        <b val="true"/>
        <sz val="10"/>
        <color rgb="FFFFFFFF"/>
        <rFont val="WenQuanYi Zen Hei"/>
        <family val="2"/>
      </rPr>
      <t xml:space="preserve">承認</t>
    </r>
  </si>
  <si>
    <r>
      <rPr>
        <b val="true"/>
        <sz val="10"/>
        <color rgb="FFFFFFFF"/>
        <rFont val="Arial"/>
        <family val="0"/>
        <charset val="1"/>
      </rPr>
      <t xml:space="preserve">G4 </t>
    </r>
    <r>
      <rPr>
        <b val="true"/>
        <sz val="10"/>
        <color rgb="FFFFFFFF"/>
        <rFont val="WenQuanYi Zen Hei"/>
        <family val="2"/>
      </rPr>
      <t xml:space="preserve">完了確認</t>
    </r>
  </si>
  <si>
    <t xml:space="preserve">ステータス</t>
  </si>
  <si>
    <t xml:space="preserve">再発タグ</t>
  </si>
  <si>
    <t xml:space="preserve">サンプル区分</t>
  </si>
  <si>
    <t xml:space="preserve">監査での確認観点</t>
  </si>
  <si>
    <r>
      <rPr>
        <b val="true"/>
        <sz val="10"/>
        <color rgb="FFFFFFFF"/>
        <rFont val="WenQuanYi Zen Hei"/>
        <family val="2"/>
      </rPr>
      <t xml:space="preserve">監査結果</t>
    </r>
    <r>
      <rPr>
        <b val="true"/>
        <sz val="10"/>
        <color rgb="FFFFFFFF"/>
        <rFont val="Arial"/>
        <family val="0"/>
        <charset val="1"/>
      </rPr>
      <t xml:space="preserve">(○△×</t>
    </r>
    <r>
      <rPr>
        <b val="true"/>
        <sz val="10"/>
        <color rgb="FFFFFFFF"/>
        <rFont val="WenQuanYi Zen Hei"/>
        <family val="2"/>
      </rPr>
      <t xml:space="preserve">－</t>
    </r>
    <r>
      <rPr>
        <b val="true"/>
        <sz val="10"/>
        <color rgb="FFFFFFFF"/>
        <rFont val="Arial"/>
        <family val="0"/>
        <charset val="1"/>
      </rPr>
      <t xml:space="preserve">)</t>
    </r>
  </si>
  <si>
    <t xml:space="preserve">確認した証憑・メモ</t>
  </si>
  <si>
    <t xml:space="preserve">SCMG-52</t>
  </si>
  <si>
    <t xml:space="preserve">airCloset</t>
  </si>
  <si>
    <t xml:space="preserve">2024/01/28</t>
  </si>
  <si>
    <t xml:space="preserve">2024/01/29</t>
  </si>
  <si>
    <r>
      <rPr>
        <sz val="10"/>
        <rFont val="Arial"/>
        <family val="0"/>
        <charset val="1"/>
      </rPr>
      <t xml:space="preserve">Disney_</t>
    </r>
    <r>
      <rPr>
        <sz val="10"/>
        <rFont val="WenQuanYi Zen Hei"/>
        <family val="2"/>
      </rPr>
      <t xml:space="preserve">梱包シールの貼り間違え</t>
    </r>
  </si>
  <si>
    <r>
      <rPr>
        <sz val="10"/>
        <rFont val="WenQuanYi Zen Hei"/>
        <family val="2"/>
      </rPr>
      <t xml:space="preserve">業務起因</t>
    </r>
    <r>
      <rPr>
        <sz val="10"/>
        <rFont val="Arial"/>
        <family val="0"/>
        <charset val="1"/>
      </rPr>
      <t xml:space="preserve">_</t>
    </r>
    <r>
      <rPr>
        <sz val="10"/>
        <rFont val="WenQuanYi Zen Hei"/>
        <family val="2"/>
      </rPr>
      <t xml:space="preserve">作業起因</t>
    </r>
  </si>
  <si>
    <t xml:space="preserve">1</t>
  </si>
  <si>
    <r>
      <rPr>
        <sz val="10"/>
        <rFont val="Arial"/>
        <family val="0"/>
        <charset val="1"/>
      </rPr>
      <t xml:space="preserve">1</t>
    </r>
    <r>
      <rPr>
        <sz val="10"/>
        <rFont val="WenQuanYi Zen Hei"/>
        <family val="2"/>
      </rPr>
      <t xml:space="preserve">人</t>
    </r>
  </si>
  <si>
    <t xml:space="preserve">なし</t>
  </si>
  <si>
    <t xml:space="preserve">シールの台紙に、ミッキーとミニーの表記をすることで、
シールを貼る時に、勘違いに気付けるようにする。
（シール自体は変更しない。貼ってある台紙を工夫する）</t>
  </si>
  <si>
    <t xml:space="preserve">tony</t>
  </si>
  <si>
    <t xml:space="preserve">icchi</t>
  </si>
  <si>
    <t xml:space="preserve">梱包ミス</t>
  </si>
  <si>
    <t xml:space="preserve">参考</t>
  </si>
  <si>
    <t xml:space="preserve">SCMG-53</t>
  </si>
  <si>
    <t xml:space="preserve">2024/02/05</t>
  </si>
  <si>
    <t xml:space="preserve">2024/02/08</t>
  </si>
  <si>
    <t xml:space="preserve">コンセプトブックの同梱漏れ</t>
  </si>
  <si>
    <r>
      <rPr>
        <sz val="10"/>
        <rFont val="WenQuanYi Zen Hei"/>
        <family val="2"/>
      </rPr>
      <t xml:space="preserve">業務起因</t>
    </r>
    <r>
      <rPr>
        <sz val="10"/>
        <rFont val="Arial"/>
        <family val="0"/>
        <charset val="1"/>
      </rPr>
      <t xml:space="preserve">_</t>
    </r>
    <r>
      <rPr>
        <sz val="10"/>
        <rFont val="WenQuanYi Zen Hei"/>
        <family val="2"/>
      </rPr>
      <t xml:space="preserve">ルール不足</t>
    </r>
  </si>
  <si>
    <t xml:space="preserve">3</t>
  </si>
  <si>
    <r>
      <rPr>
        <sz val="10"/>
        <rFont val="Arial"/>
        <family val="0"/>
        <charset val="1"/>
      </rPr>
      <t xml:space="preserve">285</t>
    </r>
    <r>
      <rPr>
        <sz val="10"/>
        <rFont val="WenQuanYi Zen Hei"/>
        <family val="2"/>
      </rPr>
      <t xml:space="preserve">名
</t>
    </r>
    <r>
      <rPr>
        <sz val="10"/>
        <rFont val="Arial"/>
        <family val="0"/>
        <charset val="1"/>
      </rPr>
      <t xml:space="preserve">(2/5~2/7</t>
    </r>
    <r>
      <rPr>
        <sz val="10"/>
        <rFont val="WenQuanYi Zen Hei"/>
        <family val="2"/>
      </rPr>
      <t xml:space="preserve">出荷の新規発送のお客様</t>
    </r>
    <r>
      <rPr>
        <sz val="10"/>
        <rFont val="Arial"/>
        <family val="0"/>
        <charset val="1"/>
      </rPr>
      <t xml:space="preserve">)
(185</t>
    </r>
    <r>
      <rPr>
        <sz val="10"/>
        <rFont val="WenQuanYi Zen Hei"/>
        <family val="2"/>
      </rPr>
      <t xml:space="preserve">円</t>
    </r>
    <r>
      <rPr>
        <sz val="10"/>
        <rFont val="Arial"/>
        <family val="0"/>
        <charset val="1"/>
      </rPr>
      <t xml:space="preserve">*285</t>
    </r>
    <r>
      <rPr>
        <sz val="10"/>
        <rFont val="WenQuanYi Zen Hei"/>
        <family val="2"/>
      </rPr>
      <t xml:space="preserve">名</t>
    </r>
    <r>
      <rPr>
        <sz val="10"/>
        <rFont val="Arial"/>
        <family val="0"/>
        <charset val="1"/>
      </rPr>
      <t xml:space="preserve">=52,725</t>
    </r>
    <r>
      <rPr>
        <sz val="10"/>
        <rFont val="WenQuanYi Zen Hei"/>
        <family val="2"/>
      </rPr>
      <t xml:space="preserve">円</t>
    </r>
    <r>
      <rPr>
        <sz val="10"/>
        <rFont val="Arial"/>
        <family val="0"/>
        <charset val="1"/>
      </rPr>
      <t xml:space="preserve">)</t>
    </r>
  </si>
  <si>
    <r>
      <rPr>
        <sz val="10"/>
        <rFont val="WenQuanYi Zen Hei"/>
        <family val="2"/>
      </rPr>
      <t xml:space="preserve">同梱物の進行を口頭で進めるのではなく、スプレットシートを用いて、確認項目を関係者全員が確認できるようにする。
同梱を一人で行うとミスに気づけないため、確認者を</t>
    </r>
    <r>
      <rPr>
        <sz val="10"/>
        <rFont val="Arial"/>
        <family val="0"/>
        <charset val="1"/>
      </rPr>
      <t xml:space="preserve">SCM2</t>
    </r>
    <r>
      <rPr>
        <sz val="10"/>
        <rFont val="WenQuanYi Zen Hei"/>
        <family val="2"/>
      </rPr>
      <t xml:space="preserve">名にするフローに変更する。
（同梱依頼シートの作成、専用スラックの作成）
</t>
    </r>
    <r>
      <rPr>
        <sz val="10"/>
        <rFont val="Arial"/>
        <family val="0"/>
        <charset val="1"/>
      </rPr>
      <t xml:space="preserve">https://docs.google.com/spreadsheets/d/1a5EkyEtkdVyCQgKU0mNGjKJEJWIwNwRvG97QP31FSrc/edit#gid=0&amp;range=B5</t>
    </r>
  </si>
  <si>
    <t xml:space="preserve">ash</t>
  </si>
  <si>
    <t xml:space="preserve">同梱物運用（指示・期日）</t>
  </si>
  <si>
    <t xml:space="preserve">★事例④</t>
  </si>
  <si>
    <r>
      <rPr>
        <sz val="10"/>
        <rFont val="WenQuanYi Zen Hei"/>
        <family val="2"/>
      </rPr>
      <t xml:space="preserve">「同梱依頼シート＋確認者</t>
    </r>
    <r>
      <rPr>
        <sz val="10"/>
        <rFont val="Arial"/>
        <family val="0"/>
        <charset val="1"/>
      </rPr>
      <t xml:space="preserve">SCM2</t>
    </r>
    <r>
      <rPr>
        <sz val="10"/>
        <rFont val="WenQuanYi Zen Hei"/>
        <family val="2"/>
      </rPr>
      <t xml:space="preserve">名」のフローが現在も運用されているか。直近の同梱依頼シートの記入実績を確認。</t>
    </r>
  </si>
  <si>
    <t xml:space="preserve">SCMG-54</t>
  </si>
  <si>
    <t xml:space="preserve">2024/02/29</t>
  </si>
  <si>
    <t xml:space="preserve">2024/03/01</t>
  </si>
  <si>
    <t xml:space="preserve">事後稟議</t>
  </si>
  <si>
    <r>
      <rPr>
        <sz val="10"/>
        <rFont val="WenQuanYi Zen Hei"/>
        <family val="2"/>
      </rPr>
      <t xml:space="preserve">現場契約書や発注書が出てきた段階で反社チェックを申請しているが、新たにコンタクトを取った時点で申請することを周知徹底する。
また仲介であっても基本的には</t>
    </r>
    <r>
      <rPr>
        <sz val="10"/>
        <rFont val="Arial"/>
        <family val="0"/>
        <charset val="1"/>
      </rPr>
      <t xml:space="preserve">NDA</t>
    </r>
    <r>
      <rPr>
        <sz val="10"/>
        <rFont val="WenQuanYi Zen Hei"/>
        <family val="2"/>
      </rPr>
      <t xml:space="preserve">及び反社チェックは基本的には行うルールとして敷く。
その管理は</t>
    </r>
    <r>
      <rPr>
        <sz val="10"/>
        <rFont val="Arial"/>
        <family val="0"/>
        <charset val="1"/>
      </rPr>
      <t xml:space="preserve">WBS</t>
    </r>
    <r>
      <rPr>
        <sz val="10"/>
        <rFont val="WenQuanYi Zen Hei"/>
        <family val="2"/>
      </rPr>
      <t xml:space="preserve">やアタックリストなどで反社チェックと</t>
    </r>
    <r>
      <rPr>
        <sz val="10"/>
        <rFont val="Arial"/>
        <family val="0"/>
        <charset val="1"/>
      </rPr>
      <t xml:space="preserve">NDA</t>
    </r>
    <r>
      <rPr>
        <sz val="10"/>
        <rFont val="WenQuanYi Zen Hei"/>
        <family val="2"/>
      </rPr>
      <t xml:space="preserve">の有無のチェックリストは入れる</t>
    </r>
  </si>
  <si>
    <t xml:space="preserve">takk</t>
  </si>
  <si>
    <t xml:space="preserve">事後稟議・契約管理</t>
  </si>
  <si>
    <t xml:space="preserve">★事例③</t>
  </si>
  <si>
    <r>
      <rPr>
        <sz val="10"/>
        <rFont val="WenQuanYi Zen Hei"/>
        <family val="2"/>
      </rPr>
      <t xml:space="preserve">「新規コンタクト時点で反社チェック申請」「仲介でも</t>
    </r>
    <r>
      <rPr>
        <sz val="10"/>
        <rFont val="Arial"/>
        <family val="0"/>
        <charset val="1"/>
      </rPr>
      <t xml:space="preserve">NDA</t>
    </r>
    <r>
      <rPr>
        <sz val="10"/>
        <rFont val="WenQuanYi Zen Hei"/>
        <family val="2"/>
      </rPr>
      <t xml:space="preserve">・反社チェック実施」のルールと、</t>
    </r>
    <r>
      <rPr>
        <sz val="10"/>
        <rFont val="Arial"/>
        <family val="0"/>
        <charset val="1"/>
      </rPr>
      <t xml:space="preserve">WBS/</t>
    </r>
    <r>
      <rPr>
        <sz val="10"/>
        <rFont val="WenQuanYi Zen Hei"/>
        <family val="2"/>
      </rPr>
      <t xml:space="preserve">アタックリストのチェック項目の現物を確認。</t>
    </r>
    <r>
      <rPr>
        <sz val="10"/>
        <rFont val="Arial"/>
        <family val="0"/>
        <charset val="1"/>
      </rPr>
      <t xml:space="preserve">2023(#44)</t>
    </r>
    <r>
      <rPr>
        <sz val="10"/>
        <rFont val="WenQuanYi Zen Hei"/>
        <family val="2"/>
      </rPr>
      <t xml:space="preserve">・</t>
    </r>
    <r>
      <rPr>
        <sz val="10"/>
        <rFont val="Arial"/>
        <family val="0"/>
        <charset val="1"/>
      </rPr>
      <t xml:space="preserve">2025(#64)</t>
    </r>
    <r>
      <rPr>
        <sz val="10"/>
        <rFont val="WenQuanYi Zen Hei"/>
        <family val="2"/>
      </rPr>
      <t xml:space="preserve">と繰り返し発生。</t>
    </r>
  </si>
  <si>
    <t xml:space="preserve">SCMG-55</t>
  </si>
  <si>
    <t xml:space="preserve">2024/02/15</t>
  </si>
  <si>
    <t xml:space="preserve">2024/03/21</t>
  </si>
  <si>
    <r>
      <rPr>
        <sz val="10"/>
        <rFont val="Arial"/>
        <family val="0"/>
        <charset val="1"/>
      </rPr>
      <t xml:space="preserve">Disney</t>
    </r>
    <r>
      <rPr>
        <sz val="10"/>
        <rFont val="WenQuanYi Zen Hei"/>
        <family val="2"/>
      </rPr>
      <t xml:space="preserve">の</t>
    </r>
    <r>
      <rPr>
        <sz val="10"/>
        <rFont val="Arial"/>
        <family val="0"/>
        <charset val="1"/>
      </rPr>
      <t xml:space="preserve">C</t>
    </r>
    <r>
      <rPr>
        <sz val="10"/>
        <rFont val="WenQuanYi Zen Hei"/>
        <family val="2"/>
      </rPr>
      <t xml:space="preserve">品が二次流通業者へ引き渡された</t>
    </r>
  </si>
  <si>
    <r>
      <rPr>
        <sz val="10"/>
        <rFont val="Arial"/>
        <family val="0"/>
        <charset val="1"/>
      </rPr>
      <t xml:space="preserve">Bridge</t>
    </r>
    <r>
      <rPr>
        <sz val="10"/>
        <rFont val="WenQuanYi Zen Hei"/>
        <family val="2"/>
      </rPr>
      <t xml:space="preserve">側で</t>
    </r>
    <r>
      <rPr>
        <sz val="10"/>
        <rFont val="Arial"/>
        <family val="0"/>
        <charset val="1"/>
      </rPr>
      <t xml:space="preserve">C</t>
    </r>
    <r>
      <rPr>
        <sz val="10"/>
        <rFont val="WenQuanYi Zen Hei"/>
        <family val="2"/>
      </rPr>
      <t xml:space="preserve">品登録した際に、</t>
    </r>
    <r>
      <rPr>
        <sz val="10"/>
        <rFont val="Arial"/>
        <family val="0"/>
        <charset val="1"/>
      </rPr>
      <t xml:space="preserve">2</t>
    </r>
    <r>
      <rPr>
        <sz val="10"/>
        <rFont val="WenQuanYi Zen Hei"/>
        <family val="2"/>
      </rPr>
      <t xml:space="preserve">次流通</t>
    </r>
    <r>
      <rPr>
        <sz val="10"/>
        <rFont val="Arial"/>
        <family val="0"/>
        <charset val="1"/>
      </rPr>
      <t xml:space="preserve">NG</t>
    </r>
    <r>
      <rPr>
        <sz val="10"/>
        <rFont val="WenQuanYi Zen Hei"/>
        <family val="2"/>
      </rPr>
      <t xml:space="preserve">とわかる表示をできるようにする
→ 上記情報を</t>
    </r>
    <r>
      <rPr>
        <sz val="10"/>
        <rFont val="Arial"/>
        <family val="0"/>
        <charset val="1"/>
      </rPr>
      <t xml:space="preserve">airCloset / Disney</t>
    </r>
    <r>
      <rPr>
        <sz val="10"/>
        <rFont val="WenQuanYi Zen Hei"/>
        <family val="2"/>
      </rPr>
      <t xml:space="preserve">それぞれのシステムで管理して、その情報を</t>
    </r>
    <r>
      <rPr>
        <sz val="10"/>
        <rFont val="Arial"/>
        <family val="0"/>
        <charset val="1"/>
      </rPr>
      <t xml:space="preserve">Bridge</t>
    </r>
    <r>
      <rPr>
        <sz val="10"/>
        <rFont val="WenQuanYi Zen Hei"/>
        <family val="2"/>
      </rPr>
      <t xml:space="preserve">へ連携できるようにする
人と人の認識のすり合わせではなく、
</t>
    </r>
    <r>
      <rPr>
        <sz val="10"/>
        <rFont val="Arial"/>
        <family val="0"/>
        <charset val="1"/>
      </rPr>
      <t xml:space="preserve">SCMG</t>
    </r>
    <r>
      <rPr>
        <sz val="10"/>
        <rFont val="WenQuanYi Zen Hei"/>
        <family val="2"/>
      </rPr>
      <t xml:space="preserve">の担当者が認知していなくても、倉庫現場ではブランドの確認など必要なく、表示が出たもののみ</t>
    </r>
    <r>
      <rPr>
        <sz val="10"/>
        <rFont val="Arial"/>
        <family val="0"/>
        <charset val="1"/>
      </rPr>
      <t xml:space="preserve">2</t>
    </r>
    <r>
      <rPr>
        <sz val="10"/>
        <rFont val="WenQuanYi Zen Hei"/>
        <family val="2"/>
      </rPr>
      <t xml:space="preserve">次流通業者への引き渡しをしないようにする</t>
    </r>
  </si>
  <si>
    <t xml:space="preserve">Jedi</t>
  </si>
  <si>
    <t xml:space="preserve">期限超過（システム対策）</t>
  </si>
  <si>
    <t xml:space="preserve">★事例⑥</t>
  </si>
  <si>
    <r>
      <rPr>
        <sz val="10"/>
        <rFont val="Arial"/>
        <family val="0"/>
        <charset val="1"/>
      </rPr>
      <t xml:space="preserve">Bridge</t>
    </r>
    <r>
      <rPr>
        <sz val="10"/>
        <rFont val="WenQuanYi Zen Hei"/>
        <family val="2"/>
      </rPr>
      <t xml:space="preserve">での「</t>
    </r>
    <r>
      <rPr>
        <sz val="10"/>
        <rFont val="Arial"/>
        <family val="0"/>
        <charset val="1"/>
      </rPr>
      <t xml:space="preserve">2</t>
    </r>
    <r>
      <rPr>
        <sz val="10"/>
        <rFont val="WenQuanYi Zen Hei"/>
        <family val="2"/>
      </rPr>
      <t xml:space="preserve">次流通</t>
    </r>
    <r>
      <rPr>
        <sz val="10"/>
        <rFont val="Arial"/>
        <family val="0"/>
        <charset val="1"/>
      </rPr>
      <t xml:space="preserve">NG</t>
    </r>
    <r>
      <rPr>
        <sz val="10"/>
        <rFont val="WenQuanYi Zen Hei"/>
        <family val="2"/>
      </rPr>
      <t xml:space="preserve">表示」が実装されたか画面で確認。完了予定</t>
    </r>
    <r>
      <rPr>
        <sz val="10"/>
        <rFont val="Arial"/>
        <family val="0"/>
        <charset val="1"/>
      </rPr>
      <t xml:space="preserve">2024/6/30</t>
    </r>
    <r>
      <rPr>
        <sz val="10"/>
        <rFont val="WenQuanYi Zen Hei"/>
        <family val="2"/>
      </rPr>
      <t xml:space="preserve">に対し完了日未記入（</t>
    </r>
    <r>
      <rPr>
        <sz val="10"/>
        <rFont val="Arial"/>
        <family val="0"/>
        <charset val="1"/>
      </rPr>
      <t xml:space="preserve">2</t>
    </r>
    <r>
      <rPr>
        <sz val="10"/>
        <rFont val="WenQuanYi Zen Hei"/>
        <family val="2"/>
      </rPr>
      <t xml:space="preserve">年以上経過）。未実装なら現行の運用代替策を確認。</t>
    </r>
  </si>
  <si>
    <t xml:space="preserve">SCMG-56</t>
  </si>
  <si>
    <t xml:space="preserve">2024/03/09</t>
  </si>
  <si>
    <t xml:space="preserve">2024/03/29</t>
  </si>
  <si>
    <t xml:space="preserve">同梱個数連携のシステム異常
（アパガード歯磨き粉）</t>
  </si>
  <si>
    <r>
      <rPr>
        <sz val="10"/>
        <rFont val="WenQuanYi Zen Hei"/>
        <family val="2"/>
      </rPr>
      <t xml:space="preserve">システム起因</t>
    </r>
    <r>
      <rPr>
        <sz val="10"/>
        <rFont val="Arial"/>
        <family val="0"/>
        <charset val="1"/>
      </rPr>
      <t xml:space="preserve">_</t>
    </r>
    <r>
      <rPr>
        <sz val="10"/>
        <rFont val="WenQuanYi Zen Hei"/>
        <family val="2"/>
      </rPr>
      <t xml:space="preserve">仕様考慮漏れ</t>
    </r>
  </si>
  <si>
    <r>
      <rPr>
        <sz val="10"/>
        <rFont val="WenQuanYi Zen Hei"/>
        <family val="2"/>
      </rPr>
      <t xml:space="preserve">他</t>
    </r>
    <r>
      <rPr>
        <sz val="10"/>
        <rFont val="Arial"/>
        <family val="0"/>
        <charset val="1"/>
      </rPr>
      <t xml:space="preserve">G</t>
    </r>
    <r>
      <rPr>
        <sz val="10"/>
        <rFont val="WenQuanYi Zen Hei"/>
        <family val="2"/>
      </rPr>
      <t xml:space="preserve">で起票</t>
    </r>
  </si>
  <si>
    <r>
      <rPr>
        <sz val="10"/>
        <rFont val="Arial"/>
        <family val="0"/>
        <charset val="1"/>
      </rPr>
      <t xml:space="preserve">496</t>
    </r>
    <r>
      <rPr>
        <sz val="10"/>
        <rFont val="WenQuanYi Zen Hei"/>
        <family val="2"/>
      </rPr>
      <t xml:space="preserve">人</t>
    </r>
  </si>
  <si>
    <r>
      <rPr>
        <sz val="10"/>
        <rFont val="Arial"/>
        <family val="0"/>
        <charset val="1"/>
      </rPr>
      <t xml:space="preserve">PGD</t>
    </r>
    <r>
      <rPr>
        <sz val="10"/>
        <rFont val="WenQuanYi Zen Hei"/>
        <family val="2"/>
      </rPr>
      <t xml:space="preserve">へ移管でクローズ
システムの改修になる。
</t>
    </r>
    <r>
      <rPr>
        <sz val="10"/>
        <rFont val="Arial"/>
        <family val="0"/>
        <charset val="1"/>
      </rPr>
      <t xml:space="preserve">https://air-closet.backlog.jp/view/AIRCLOSET-69679</t>
    </r>
  </si>
  <si>
    <t xml:space="preserve">システム（同梱連携）</t>
  </si>
  <si>
    <t xml:space="preserve">SCMG-57</t>
  </si>
  <si>
    <t xml:space="preserve">2024/06/05</t>
  </si>
  <si>
    <t xml:space="preserve">2024/06/07</t>
  </si>
  <si>
    <t xml:space="preserve">配送テレコ</t>
  </si>
  <si>
    <r>
      <rPr>
        <sz val="10"/>
        <rFont val="Arial"/>
        <family val="0"/>
        <charset val="1"/>
      </rPr>
      <t xml:space="preserve">1</t>
    </r>
    <r>
      <rPr>
        <sz val="10"/>
        <rFont val="WenQuanYi Zen Hei"/>
        <family val="2"/>
      </rPr>
      <t xml:space="preserve">名</t>
    </r>
  </si>
  <si>
    <r>
      <rPr>
        <sz val="10"/>
        <rFont val="WenQuanYi Zen Hei"/>
        <family val="2"/>
      </rPr>
      <t xml:space="preserve">返送費と発送費
合わせて</t>
    </r>
    <r>
      <rPr>
        <sz val="10"/>
        <rFont val="Arial"/>
        <family val="0"/>
        <charset val="1"/>
      </rPr>
      <t xml:space="preserve">3,000</t>
    </r>
    <r>
      <rPr>
        <sz val="10"/>
        <rFont val="WenQuanYi Zen Hei"/>
        <family val="2"/>
      </rPr>
      <t xml:space="preserve">円程度</t>
    </r>
  </si>
  <si>
    <t xml:space="preserve">暫定同様</t>
  </si>
  <si>
    <t xml:space="preserve">SCMG-58</t>
  </si>
  <si>
    <t xml:space="preserve">2024/07/23</t>
  </si>
  <si>
    <t xml:space="preserve">2024/07/25</t>
  </si>
  <si>
    <t xml:space="preserve">同梱設定にバグの顕在化</t>
  </si>
  <si>
    <r>
      <rPr>
        <sz val="10"/>
        <rFont val="WenQuanYi Zen Hei"/>
        <family val="2"/>
      </rPr>
      <t xml:space="preserve">なし</t>
    </r>
    <r>
      <rPr>
        <sz val="10"/>
        <rFont val="Arial"/>
        <family val="0"/>
        <charset val="1"/>
      </rPr>
      <t xml:space="preserve">(</t>
    </r>
    <r>
      <rPr>
        <sz val="10"/>
        <rFont val="WenQuanYi Zen Hei"/>
        <family val="2"/>
      </rPr>
      <t xml:space="preserve">対応コストのみ</t>
    </r>
    <r>
      <rPr>
        <sz val="10"/>
        <rFont val="Arial"/>
        <family val="0"/>
        <charset val="1"/>
      </rPr>
      <t xml:space="preserve">)</t>
    </r>
  </si>
  <si>
    <t xml:space="preserve">システムバグを改修する</t>
  </si>
  <si>
    <t xml:space="preserve">SCMG-59</t>
  </si>
  <si>
    <t xml:space="preserve">2024/08/06</t>
  </si>
  <si>
    <t xml:space="preserve">オーク物流での停電による作業停止</t>
  </si>
  <si>
    <r>
      <rPr>
        <sz val="10"/>
        <rFont val="Arial"/>
        <family val="0"/>
        <charset val="1"/>
      </rPr>
      <t xml:space="preserve">66</t>
    </r>
    <r>
      <rPr>
        <sz val="10"/>
        <rFont val="WenQuanYi Zen Hei"/>
        <family val="2"/>
      </rPr>
      <t xml:space="preserve">名</t>
    </r>
  </si>
  <si>
    <r>
      <rPr>
        <sz val="10"/>
        <rFont val="Arial"/>
        <family val="0"/>
        <charset val="1"/>
      </rPr>
      <t xml:space="preserve">①Wi-Fi</t>
    </r>
    <r>
      <rPr>
        <sz val="10"/>
        <rFont val="WenQuanYi Zen Hei"/>
        <family val="2"/>
      </rPr>
      <t xml:space="preserve">のバックアップを用意する。（固定</t>
    </r>
    <r>
      <rPr>
        <sz val="10"/>
        <rFont val="Arial"/>
        <family val="0"/>
        <charset val="1"/>
      </rPr>
      <t xml:space="preserve">IP</t>
    </r>
    <r>
      <rPr>
        <sz val="10"/>
        <rFont val="WenQuanYi Zen Hei"/>
        <family val="2"/>
      </rPr>
      <t xml:space="preserve">をもつインターネットの冗長化）
②業務基本契約書第２１条（事故処理）に即して、</t>
    </r>
    <r>
      <rPr>
        <sz val="10"/>
        <rFont val="Arial"/>
        <family val="0"/>
        <charset val="1"/>
      </rPr>
      <t xml:space="preserve">OAK</t>
    </r>
    <r>
      <rPr>
        <sz val="10"/>
        <rFont val="WenQuanYi Zen Hei"/>
        <family val="2"/>
      </rPr>
      <t xml:space="preserve">物流倉庫の電源強化等の対応を依頼（</t>
    </r>
    <r>
      <rPr>
        <sz val="10"/>
        <rFont val="Arial"/>
        <family val="0"/>
        <charset val="1"/>
      </rPr>
      <t xml:space="preserve">OAK</t>
    </r>
    <r>
      <rPr>
        <sz val="10"/>
        <rFont val="WenQuanYi Zen Hei"/>
        <family val="2"/>
      </rPr>
      <t xml:space="preserve">物流様側の対応）…取扱い電圧の許容度の拡大と設備の改善・新調等の対応（経過報告を依頼し、承諾済み）
③出荷前検品は、通常のオペレーションと確保する労働時間を切り分け、イレギュラーが起きても、出荷前検品に影響が出づらい状況を作る</t>
    </r>
    <r>
      <rPr>
        <sz val="10"/>
        <rFont val="Arial"/>
        <family val="0"/>
        <charset val="1"/>
      </rPr>
      <t xml:space="preserve">(8</t>
    </r>
    <r>
      <rPr>
        <sz val="10"/>
        <rFont val="WenQuanYi Zen Hei"/>
        <family val="2"/>
      </rPr>
      <t xml:space="preserve">月末契約改定予定）
①・③については</t>
    </r>
    <r>
      <rPr>
        <sz val="10"/>
        <rFont val="Arial"/>
        <family val="0"/>
        <charset val="1"/>
      </rPr>
      <t xml:space="preserve">8</t>
    </r>
    <r>
      <rPr>
        <sz val="10"/>
        <rFont val="WenQuanYi Zen Hei"/>
        <family val="2"/>
      </rPr>
      <t xml:space="preserve">月末を期日に調整中。
②については</t>
    </r>
    <r>
      <rPr>
        <sz val="10"/>
        <rFont val="Arial"/>
        <family val="0"/>
        <charset val="1"/>
      </rPr>
      <t xml:space="preserve">OAK</t>
    </r>
    <r>
      <rPr>
        <sz val="10"/>
        <rFont val="WenQuanYi Zen Hei"/>
        <family val="2"/>
      </rPr>
      <t xml:space="preserve">様から週次で進捗を確認中。（方針確定から工事完了までに時間を要する想定のため、分けて管理する方針。）</t>
    </r>
  </si>
  <si>
    <r>
      <rPr>
        <sz val="10"/>
        <rFont val="Arial"/>
        <family val="0"/>
        <charset val="1"/>
      </rPr>
      <t xml:space="preserve">Wi-Fi</t>
    </r>
    <r>
      <rPr>
        <sz val="10"/>
        <rFont val="WenQuanYi Zen Hei"/>
        <family val="2"/>
      </rPr>
      <t xml:space="preserve">冗長化（固定</t>
    </r>
    <r>
      <rPr>
        <sz val="10"/>
        <rFont val="Arial"/>
        <family val="0"/>
        <charset val="1"/>
      </rPr>
      <t xml:space="preserve">IP</t>
    </r>
    <r>
      <rPr>
        <sz val="10"/>
        <rFont val="WenQuanYi Zen Hei"/>
        <family val="2"/>
      </rPr>
      <t xml:space="preserve">回線のバックアップ）・</t>
    </r>
    <r>
      <rPr>
        <sz val="10"/>
        <rFont val="Arial"/>
        <family val="0"/>
        <charset val="1"/>
      </rPr>
      <t xml:space="preserve">OAK</t>
    </r>
    <r>
      <rPr>
        <sz val="10"/>
        <rFont val="WenQuanYi Zen Hei"/>
        <family val="2"/>
      </rPr>
      <t xml:space="preserve">物流の電源強化・出荷前検品の工数切り分け（</t>
    </r>
    <r>
      <rPr>
        <sz val="10"/>
        <rFont val="Arial"/>
        <family val="0"/>
        <charset val="1"/>
      </rPr>
      <t xml:space="preserve">8</t>
    </r>
    <r>
      <rPr>
        <sz val="10"/>
        <rFont val="WenQuanYi Zen Hei"/>
        <family val="2"/>
      </rPr>
      <t xml:space="preserve">月末契約改定）の実施有無。完了予定</t>
    </r>
    <r>
      <rPr>
        <sz val="10"/>
        <rFont val="Arial"/>
        <family val="0"/>
        <charset val="1"/>
      </rPr>
      <t xml:space="preserve">2024/8/31</t>
    </r>
    <r>
      <rPr>
        <sz val="10"/>
        <rFont val="WenQuanYi Zen Hei"/>
        <family val="2"/>
      </rPr>
      <t xml:space="preserve">に対し完了日未記入。</t>
    </r>
  </si>
  <si>
    <t xml:space="preserve">SCMG-60</t>
  </si>
  <si>
    <t xml:space="preserve">2024/09/11</t>
  </si>
  <si>
    <t xml:space="preserve">2024/09/07</t>
  </si>
  <si>
    <t xml:space="preserve">ハルメク同梱品のテレコ</t>
  </si>
  <si>
    <r>
      <rPr>
        <sz val="10"/>
        <rFont val="Arial"/>
        <family val="0"/>
        <charset val="1"/>
      </rPr>
      <t xml:space="preserve">9</t>
    </r>
    <r>
      <rPr>
        <sz val="10"/>
        <rFont val="WenQuanYi Zen Hei"/>
        <family val="2"/>
      </rPr>
      <t xml:space="preserve">名</t>
    </r>
  </si>
  <si>
    <r>
      <rPr>
        <sz val="10"/>
        <rFont val="WenQuanYi Zen Hei"/>
        <family val="2"/>
      </rPr>
      <t xml:space="preserve">恒久対応策空欄。同梱カード旧版の廃棄漏れ→</t>
    </r>
    <r>
      <rPr>
        <sz val="10"/>
        <rFont val="Arial"/>
        <family val="0"/>
        <charset val="1"/>
      </rPr>
      <t xml:space="preserve">#61</t>
    </r>
    <r>
      <rPr>
        <sz val="10"/>
        <rFont val="WenQuanYi Zen Hei"/>
        <family val="2"/>
      </rPr>
      <t xml:space="preserve">・</t>
    </r>
    <r>
      <rPr>
        <sz val="10"/>
        <rFont val="Arial"/>
        <family val="0"/>
        <charset val="1"/>
      </rPr>
      <t xml:space="preserve">#68</t>
    </r>
    <r>
      <rPr>
        <sz val="10"/>
        <rFont val="WenQuanYi Zen Hei"/>
        <family val="2"/>
      </rPr>
      <t xml:space="preserve">と同じ同梱物運用の弱さ。</t>
    </r>
  </si>
  <si>
    <t xml:space="preserve">SCMG-61</t>
  </si>
  <si>
    <t xml:space="preserve">2024/12/22</t>
  </si>
  <si>
    <r>
      <rPr>
        <sz val="10"/>
        <rFont val="Arial"/>
        <family val="0"/>
        <charset val="1"/>
      </rPr>
      <t xml:space="preserve">JTB</t>
    </r>
    <r>
      <rPr>
        <sz val="10"/>
        <rFont val="WenQuanYi Zen Hei"/>
        <family val="2"/>
      </rPr>
      <t xml:space="preserve">同梱カードの在庫切れ</t>
    </r>
  </si>
  <si>
    <r>
      <rPr>
        <sz val="10"/>
        <rFont val="Arial"/>
        <family val="0"/>
        <charset val="1"/>
      </rPr>
      <t xml:space="preserve">300</t>
    </r>
    <r>
      <rPr>
        <sz val="10"/>
        <rFont val="WenQuanYi Zen Hei"/>
        <family val="2"/>
      </rPr>
      <t xml:space="preserve">名
</t>
    </r>
    <r>
      <rPr>
        <sz val="10"/>
        <rFont val="Arial"/>
        <family val="0"/>
        <charset val="1"/>
      </rPr>
      <t xml:space="preserve">22</t>
    </r>
    <r>
      <rPr>
        <sz val="10"/>
        <rFont val="WenQuanYi Zen Hei"/>
        <family val="2"/>
      </rPr>
      <t xml:space="preserve">日：</t>
    </r>
    <r>
      <rPr>
        <sz val="10"/>
        <rFont val="Arial"/>
        <family val="0"/>
        <charset val="1"/>
      </rPr>
      <t xml:space="preserve">16</t>
    </r>
    <r>
      <rPr>
        <sz val="10"/>
        <rFont val="WenQuanYi Zen Hei"/>
        <family val="2"/>
      </rPr>
      <t xml:space="preserve">名
</t>
    </r>
    <r>
      <rPr>
        <sz val="10"/>
        <rFont val="Arial"/>
        <family val="0"/>
        <charset val="1"/>
      </rPr>
      <t xml:space="preserve">23</t>
    </r>
    <r>
      <rPr>
        <sz val="10"/>
        <rFont val="WenQuanYi Zen Hei"/>
        <family val="2"/>
      </rPr>
      <t xml:space="preserve">日：</t>
    </r>
    <r>
      <rPr>
        <sz val="10"/>
        <rFont val="Arial"/>
        <family val="0"/>
        <charset val="1"/>
      </rPr>
      <t xml:space="preserve">59</t>
    </r>
    <r>
      <rPr>
        <sz val="10"/>
        <rFont val="WenQuanYi Zen Hei"/>
        <family val="2"/>
      </rPr>
      <t xml:space="preserve">名
</t>
    </r>
    <r>
      <rPr>
        <sz val="10"/>
        <rFont val="Arial"/>
        <family val="0"/>
        <charset val="1"/>
      </rPr>
      <t xml:space="preserve">24</t>
    </r>
    <r>
      <rPr>
        <sz val="10"/>
        <rFont val="WenQuanYi Zen Hei"/>
        <family val="2"/>
      </rPr>
      <t xml:space="preserve">日〜</t>
    </r>
    <r>
      <rPr>
        <sz val="10"/>
        <rFont val="Arial"/>
        <family val="0"/>
        <charset val="1"/>
      </rPr>
      <t xml:space="preserve">220</t>
    </r>
    <r>
      <rPr>
        <sz val="10"/>
        <rFont val="WenQuanYi Zen Hei"/>
        <family val="2"/>
      </rPr>
      <t xml:space="preserve">名程度の予測</t>
    </r>
  </si>
  <si>
    <r>
      <rPr>
        <sz val="10"/>
        <rFont val="WenQuanYi Zen Hei"/>
        <family val="2"/>
      </rPr>
      <t xml:space="preserve">①現場在庫の棚卸しのルール化。
　全ての同梱品を</t>
    </r>
    <r>
      <rPr>
        <sz val="10"/>
        <rFont val="Arial"/>
        <family val="0"/>
        <charset val="1"/>
      </rPr>
      <t xml:space="preserve">1</t>
    </r>
    <r>
      <rPr>
        <sz val="10"/>
        <rFont val="WenQuanYi Zen Hei"/>
        <family val="2"/>
      </rPr>
      <t xml:space="preserve">に</t>
    </r>
    <r>
      <rPr>
        <sz val="10"/>
        <rFont val="Arial"/>
        <family val="0"/>
        <charset val="1"/>
      </rPr>
      <t xml:space="preserve">1</t>
    </r>
    <r>
      <rPr>
        <sz val="10"/>
        <rFont val="WenQuanYi Zen Hei"/>
        <family val="2"/>
      </rPr>
      <t xml:space="preserve">回全てカウントする業務を実施する。</t>
    </r>
    <r>
      <rPr>
        <sz val="10"/>
        <rFont val="Arial"/>
        <family val="0"/>
        <charset val="1"/>
      </rPr>
      <t xml:space="preserve">(1</t>
    </r>
    <r>
      <rPr>
        <sz val="10"/>
        <rFont val="WenQuanYi Zen Hei"/>
        <family val="2"/>
      </rPr>
      <t xml:space="preserve">ヶ月</t>
    </r>
    <r>
      <rPr>
        <sz val="10"/>
        <rFont val="Arial"/>
        <family val="0"/>
        <charset val="1"/>
      </rPr>
      <t xml:space="preserve">4,000</t>
    </r>
    <r>
      <rPr>
        <sz val="10"/>
        <rFont val="WenQuanYi Zen Hei"/>
        <family val="2"/>
      </rPr>
      <t xml:space="preserve">円</t>
    </r>
    <r>
      <rPr>
        <sz val="10"/>
        <rFont val="Arial"/>
        <family val="0"/>
        <charset val="1"/>
      </rPr>
      <t xml:space="preserve">/</t>
    </r>
    <r>
      <rPr>
        <sz val="10"/>
        <rFont val="WenQuanYi Zen Hei"/>
        <family val="2"/>
      </rPr>
      <t xml:space="preserve">円程度のコスト</t>
    </r>
    <r>
      <rPr>
        <sz val="10"/>
        <rFont val="Arial"/>
        <family val="0"/>
        <charset val="1"/>
      </rPr>
      <t xml:space="preserve">)
②</t>
    </r>
    <r>
      <rPr>
        <sz val="10"/>
        <rFont val="WenQuanYi Zen Hei"/>
        <family val="2"/>
      </rPr>
      <t xml:space="preserve">同梱データのシステム改善
　現在は、同梱数のデータが実態とズレため、データでの管理ができていない。
　データを現実と合わる改善をし、データ上でも管理できるようにする。</t>
    </r>
  </si>
  <si>
    <t xml:space="preserve">mash</t>
  </si>
  <si>
    <t xml:space="preserve">同梱物在庫管理</t>
  </si>
  <si>
    <t xml:space="preserve">★事例①</t>
  </si>
  <si>
    <r>
      <rPr>
        <sz val="10"/>
        <rFont val="WenQuanYi Zen Hei"/>
        <family val="2"/>
      </rPr>
      <t xml:space="preserve">恒久対応①「全同梱品の月次棚卸しルール化」②「同梱数データのシステム改善」が実施されているか。棚卸し記録（直近月）・</t>
    </r>
    <r>
      <rPr>
        <sz val="10"/>
        <rFont val="Arial"/>
        <family val="0"/>
        <charset val="1"/>
      </rPr>
      <t xml:space="preserve">OAK</t>
    </r>
    <r>
      <rPr>
        <sz val="10"/>
        <rFont val="WenQuanYi Zen Hei"/>
        <family val="2"/>
      </rPr>
      <t xml:space="preserve">物流との作業合意</t>
    </r>
    <r>
      <rPr>
        <sz val="10"/>
        <rFont val="Arial"/>
        <family val="0"/>
        <charset val="1"/>
      </rPr>
      <t xml:space="preserve">/</t>
    </r>
    <r>
      <rPr>
        <sz val="10"/>
        <rFont val="WenQuanYi Zen Hei"/>
        <family val="2"/>
      </rPr>
      <t xml:space="preserve">費用の現物を確認。</t>
    </r>
    <r>
      <rPr>
        <sz val="10"/>
        <rFont val="Arial"/>
        <family val="0"/>
        <charset val="1"/>
      </rPr>
      <t xml:space="preserve">#62</t>
    </r>
    <r>
      <rPr>
        <sz val="10"/>
        <rFont val="WenQuanYi Zen Hei"/>
        <family val="2"/>
      </rPr>
      <t xml:space="preserve">で「未実行」が判明した事例の本体。</t>
    </r>
  </si>
  <si>
    <t xml:space="preserve">SCMG-62</t>
  </si>
  <si>
    <t xml:space="preserve">2025/01/07</t>
  </si>
  <si>
    <r>
      <rPr>
        <sz val="10"/>
        <rFont val="WenQuanYi Zen Hei"/>
        <family val="2"/>
      </rPr>
      <t xml:space="preserve">インシデント</t>
    </r>
    <r>
      <rPr>
        <sz val="10"/>
        <rFont val="Arial"/>
        <family val="0"/>
        <charset val="1"/>
      </rPr>
      <t xml:space="preserve">#61 </t>
    </r>
    <r>
      <rPr>
        <sz val="10"/>
        <rFont val="WenQuanYi Zen Hei"/>
        <family val="2"/>
      </rPr>
      <t xml:space="preserve">の恒久対応が実行できていなかった</t>
    </r>
  </si>
  <si>
    <r>
      <rPr>
        <sz val="10"/>
        <rFont val="Arial"/>
        <family val="0"/>
        <charset val="1"/>
      </rPr>
      <t xml:space="preserve">90</t>
    </r>
    <r>
      <rPr>
        <sz val="10"/>
        <rFont val="WenQuanYi Zen Hei"/>
        <family val="2"/>
      </rPr>
      <t xml:space="preserve">名</t>
    </r>
  </si>
  <si>
    <r>
      <rPr>
        <sz val="10"/>
        <rFont val="WenQuanYi Zen Hei"/>
        <family val="2"/>
      </rPr>
      <t xml:space="preserve">カウントを実施し、向こう一か月は同様の事象は発生しないことを確認ずみ。
一か月内に、</t>
    </r>
    <r>
      <rPr>
        <sz val="10"/>
        <rFont val="Arial"/>
        <family val="0"/>
        <charset val="1"/>
      </rPr>
      <t xml:space="preserve">NO,61</t>
    </r>
    <r>
      <rPr>
        <sz val="10"/>
        <rFont val="WenQuanYi Zen Hei"/>
        <family val="2"/>
      </rPr>
      <t xml:space="preserve">で想定していた対応が実施できるようにする。
具体的にはカウント作業の作業手順と、必要な作用工数（金銭コストを含む）を明確にしオーク物流様に作業の実行するための対応余力を確保することを依頼する。もし、実行できない場合には想定作業を実行する人員を、エアークローゼット側で調達する。</t>
    </r>
  </si>
  <si>
    <r>
      <rPr>
        <sz val="10"/>
        <rFont val="Arial"/>
        <family val="0"/>
        <charset val="1"/>
      </rPr>
      <t xml:space="preserve">#61</t>
    </r>
    <r>
      <rPr>
        <sz val="10"/>
        <rFont val="WenQuanYi Zen Hei"/>
        <family val="2"/>
      </rPr>
      <t xml:space="preserve">の恒久対応が未実行で再発した案件。「一か月内に</t>
    </r>
    <r>
      <rPr>
        <sz val="10"/>
        <rFont val="Arial"/>
        <family val="0"/>
        <charset val="1"/>
      </rPr>
      <t xml:space="preserve">No.61</t>
    </r>
    <r>
      <rPr>
        <sz val="10"/>
        <rFont val="WenQuanYi Zen Hei"/>
        <family val="2"/>
      </rPr>
      <t xml:space="preserve">の対応を実施」の結果（棚卸し手順書・工数合意・代替人員）を確認。承認日・完了予定日・完了日いずれも未記入。</t>
    </r>
  </si>
  <si>
    <t xml:space="preserve">SCMG-63</t>
  </si>
  <si>
    <t xml:space="preserve">2025/02/17</t>
  </si>
  <si>
    <t xml:space="preserve">伝票の乗り移り</t>
  </si>
  <si>
    <r>
      <rPr>
        <sz val="10"/>
        <rFont val="Arial"/>
        <family val="0"/>
        <charset val="1"/>
      </rPr>
      <t xml:space="preserve">2</t>
    </r>
    <r>
      <rPr>
        <sz val="10"/>
        <rFont val="WenQuanYi Zen Hei"/>
        <family val="2"/>
      </rPr>
      <t xml:space="preserve">名</t>
    </r>
  </si>
  <si>
    <t xml:space="preserve">暫定対応を同じ</t>
  </si>
  <si>
    <t xml:space="preserve">伝票トラブル</t>
  </si>
  <si>
    <r>
      <rPr>
        <sz val="10"/>
        <rFont val="Arial"/>
        <family val="0"/>
        <charset val="1"/>
      </rPr>
      <t xml:space="preserve">Lv3</t>
    </r>
    <r>
      <rPr>
        <sz val="10"/>
        <rFont val="WenQuanYi Zen Hei"/>
        <family val="2"/>
      </rPr>
      <t xml:space="preserve">全件</t>
    </r>
  </si>
  <si>
    <t xml:space="preserve">SCMG-64</t>
  </si>
  <si>
    <t xml:space="preserve">2025/02/19</t>
  </si>
  <si>
    <r>
      <rPr>
        <sz val="10"/>
        <rFont val="WenQuanYi Zen Hei"/>
        <family val="2"/>
      </rPr>
      <t xml:space="preserve">事後稟議</t>
    </r>
    <r>
      <rPr>
        <sz val="10"/>
        <rFont val="Arial"/>
        <family val="0"/>
        <charset val="1"/>
      </rPr>
      <t xml:space="preserve">_</t>
    </r>
    <r>
      <rPr>
        <sz val="10"/>
        <rFont val="WenQuanYi Zen Hei"/>
        <family val="2"/>
      </rPr>
      <t xml:space="preserve">流山ボイラーの保守契約</t>
    </r>
  </si>
  <si>
    <r>
      <rPr>
        <sz val="10"/>
        <rFont val="Arial"/>
        <family val="0"/>
        <charset val="1"/>
      </rPr>
      <t xml:space="preserve">0</t>
    </r>
    <r>
      <rPr>
        <sz val="10"/>
        <rFont val="WenQuanYi Zen Hei"/>
        <family val="2"/>
      </rPr>
      <t xml:space="preserve">名</t>
    </r>
  </si>
  <si>
    <t xml:space="preserve">春日部移転に際して、同一事象の発生する可能性がある。そのため
①契約関係の一元管理ファイルを作成し、契約書を全てを管理する
②契約書の担当者をつけ、全てに関して把握でき、ヌケモレがないようにする</t>
  </si>
  <si>
    <t xml:space="preserve">「契約関係の一元管理ファイル」「契約書担当者の設置」が実現しているか。春日部移転で同一事象が起きていないか、管理ファイルの現物で確認。</t>
  </si>
  <si>
    <t xml:space="preserve">SCMG-65</t>
  </si>
  <si>
    <t xml:space="preserve">その他</t>
  </si>
  <si>
    <t xml:space="preserve">2025/04/11</t>
  </si>
  <si>
    <r>
      <rPr>
        <sz val="10"/>
        <rFont val="Arial"/>
        <family val="0"/>
        <charset val="1"/>
      </rPr>
      <t xml:space="preserve">vivit</t>
    </r>
    <r>
      <rPr>
        <sz val="10"/>
        <rFont val="WenQuanYi Zen Hei"/>
        <family val="2"/>
      </rPr>
      <t xml:space="preserve">様への請求漏れ</t>
    </r>
  </si>
  <si>
    <t xml:space="preserve">2</t>
  </si>
  <si>
    <r>
      <rPr>
        <sz val="10"/>
        <rFont val="Arial"/>
        <family val="0"/>
        <charset val="1"/>
      </rPr>
      <t xml:space="preserve">57,000</t>
    </r>
    <r>
      <rPr>
        <sz val="10"/>
        <rFont val="WenQuanYi Zen Hei"/>
        <family val="2"/>
      </rPr>
      <t xml:space="preserve">円の請求漏れ</t>
    </r>
  </si>
  <si>
    <t xml:space="preserve">請求書シート作業時にはコピーを作成し、そちらで作業を行う</t>
  </si>
  <si>
    <t xml:space="preserve">委託先請求</t>
  </si>
  <si>
    <t xml:space="preserve">SCMG-66</t>
  </si>
  <si>
    <t xml:space="preserve">2025/05/19</t>
  </si>
  <si>
    <t xml:space="preserve">2025/05/20</t>
  </si>
  <si>
    <r>
      <rPr>
        <sz val="10"/>
        <rFont val="WenQuanYi Zen Hei"/>
        <family val="2"/>
      </rPr>
      <t xml:space="preserve">エコセールの
</t>
    </r>
    <r>
      <rPr>
        <sz val="10"/>
        <rFont val="Arial"/>
        <family val="0"/>
        <charset val="1"/>
      </rPr>
      <t xml:space="preserve">BASE</t>
    </r>
    <r>
      <rPr>
        <sz val="10"/>
        <rFont val="WenQuanYi Zen Hei"/>
        <family val="2"/>
      </rPr>
      <t xml:space="preserve">への伝票番号の記載エラー</t>
    </r>
  </si>
  <si>
    <r>
      <rPr>
        <sz val="10"/>
        <rFont val="Arial"/>
        <family val="0"/>
        <charset val="1"/>
      </rPr>
      <t xml:space="preserve">71</t>
    </r>
    <r>
      <rPr>
        <sz val="10"/>
        <rFont val="WenQuanYi Zen Hei"/>
        <family val="2"/>
      </rPr>
      <t xml:space="preserve">名</t>
    </r>
  </si>
  <si>
    <r>
      <rPr>
        <sz val="10"/>
        <rFont val="WenQuanYi Zen Hei"/>
        <family val="2"/>
      </rPr>
      <t xml:space="preserve">ブリッジの</t>
    </r>
    <r>
      <rPr>
        <sz val="10"/>
        <rFont val="Arial"/>
        <family val="0"/>
        <charset val="1"/>
      </rPr>
      <t xml:space="preserve">DL</t>
    </r>
    <r>
      <rPr>
        <sz val="10"/>
        <rFont val="WenQuanYi Zen Hei"/>
        <family val="2"/>
      </rPr>
      <t xml:space="preserve">データが正しく出るように修正を行う</t>
    </r>
  </si>
  <si>
    <t xml:space="preserve">手作業データ処理</t>
  </si>
  <si>
    <r>
      <rPr>
        <sz val="10"/>
        <rFont val="WenQuanYi Zen Hei"/>
        <family val="2"/>
      </rPr>
      <t xml:space="preserve">恒久対応「</t>
    </r>
    <r>
      <rPr>
        <sz val="10"/>
        <rFont val="Arial"/>
        <family val="0"/>
        <charset val="1"/>
      </rPr>
      <t xml:space="preserve">Bridge</t>
    </r>
    <r>
      <rPr>
        <sz val="10"/>
        <rFont val="WenQuanYi Zen Hei"/>
        <family val="2"/>
      </rPr>
      <t xml:space="preserve">の</t>
    </r>
    <r>
      <rPr>
        <sz val="10"/>
        <rFont val="Arial"/>
        <family val="0"/>
        <charset val="1"/>
      </rPr>
      <t xml:space="preserve">DL</t>
    </r>
    <r>
      <rPr>
        <sz val="10"/>
        <rFont val="WenQuanYi Zen Hei"/>
        <family val="2"/>
      </rPr>
      <t xml:space="preserve">データ修正」の実装有無（承認者・承認日なし）。</t>
    </r>
  </si>
  <si>
    <t xml:space="preserve">SCMG-67</t>
  </si>
  <si>
    <t xml:space="preserve">2025/05/24</t>
  </si>
  <si>
    <t xml:space="preserve">ドレス　発送遅延</t>
  </si>
  <si>
    <t xml:space="preserve">システム改修。
倉庫側での手動キャンセルがなくなるように、上位側のシステムを改修する。</t>
  </si>
  <si>
    <t xml:space="preserve">tukky</t>
  </si>
  <si>
    <t xml:space="preserve">SCMG-68</t>
  </si>
  <si>
    <t xml:space="preserve">2025/07/17</t>
  </si>
  <si>
    <t xml:space="preserve">2025/08/04</t>
  </si>
  <si>
    <r>
      <rPr>
        <sz val="10"/>
        <rFont val="WenQuanYi Zen Hei"/>
        <family val="2"/>
      </rPr>
      <t xml:space="preserve">友達紹介</t>
    </r>
    <r>
      <rPr>
        <sz val="10"/>
        <rFont val="Arial"/>
        <family val="0"/>
        <charset val="1"/>
      </rPr>
      <t xml:space="preserve">DM</t>
    </r>
    <r>
      <rPr>
        <sz val="10"/>
        <rFont val="WenQuanYi Zen Hei"/>
        <family val="2"/>
      </rPr>
      <t xml:space="preserve">の発送停止ミス</t>
    </r>
  </si>
  <si>
    <r>
      <rPr>
        <sz val="10"/>
        <rFont val="Arial"/>
        <family val="0"/>
        <charset val="1"/>
      </rPr>
      <t xml:space="preserve">ac-div</t>
    </r>
    <r>
      <rPr>
        <sz val="10"/>
        <rFont val="WenQuanYi Zen Hei"/>
        <family val="2"/>
      </rPr>
      <t xml:space="preserve">との相違：</t>
    </r>
    <r>
      <rPr>
        <sz val="10"/>
        <rFont val="Arial"/>
        <family val="0"/>
        <charset val="1"/>
      </rPr>
      <t xml:space="preserve">2,853</t>
    </r>
    <r>
      <rPr>
        <sz val="10"/>
        <rFont val="WenQuanYi Zen Hei"/>
        <family val="2"/>
      </rPr>
      <t xml:space="preserve">名（</t>
    </r>
    <r>
      <rPr>
        <sz val="10"/>
        <rFont val="Arial"/>
        <family val="0"/>
        <charset val="1"/>
      </rPr>
      <t xml:space="preserve">7/17-8/4</t>
    </r>
    <r>
      <rPr>
        <sz val="10"/>
        <rFont val="WenQuanYi Zen Hei"/>
        <family val="2"/>
      </rPr>
      <t xml:space="preserve">までに送るべきでないのに送ってしまったお客様の数）
期間外の発送：</t>
    </r>
    <r>
      <rPr>
        <sz val="10"/>
        <rFont val="Arial"/>
        <family val="0"/>
        <charset val="1"/>
      </rPr>
      <t xml:space="preserve">771</t>
    </r>
    <r>
      <rPr>
        <sz val="10"/>
        <rFont val="WenQuanYi Zen Hei"/>
        <family val="2"/>
      </rPr>
      <t xml:space="preserve">名（</t>
    </r>
    <r>
      <rPr>
        <sz val="10"/>
        <rFont val="Arial"/>
        <family val="0"/>
        <charset val="1"/>
      </rPr>
      <t xml:space="preserve">7/29-8/4</t>
    </r>
    <r>
      <rPr>
        <sz val="10"/>
        <rFont val="WenQuanYi Zen Hei"/>
        <family val="2"/>
      </rPr>
      <t xml:space="preserve">に送付した、無効…</t>
    </r>
  </si>
  <si>
    <r>
      <rPr>
        <sz val="10"/>
        <rFont val="WenQuanYi Zen Hei"/>
        <family val="2"/>
      </rPr>
      <t xml:space="preserve">設定期日に気づける仕組みを自動化する／担当者だけに属人化させない
同梱依頼のフローは、依頼ファイル入力⇨スラック連絡で始まる。
</t>
    </r>
    <r>
      <rPr>
        <sz val="10"/>
        <rFont val="Arial"/>
        <family val="0"/>
        <charset val="1"/>
      </rPr>
      <t xml:space="preserve">https://docs.google.com/spreadsheets/d/1a5EkyEtkdVyCQgKU0mNGjKJEJWIwNwRvG97QP31FSrc/edit?gid=0#gid=0&amp;range=B2
</t>
    </r>
    <r>
      <rPr>
        <sz val="10"/>
        <rFont val="WenQuanYi Zen Hei"/>
        <family val="2"/>
      </rPr>
      <t xml:space="preserve">この依頼設定が入力された段階で、
期日アラートを組む（担当者不在でも対応できるようにチームに共有される場所で実施する）
→このアラートは現場にも共有される場所で行われ、エアクロメンバーがアクションを起こさなくても計画通りの実行（停止）ができる状況をゴールとする。（まずはここまでを直ちに実行する）
→さらに進んで、ブリッジ・コンソール上での計画・統御が…</t>
    </r>
  </si>
  <si>
    <r>
      <rPr>
        <sz val="10"/>
        <rFont val="Arial"/>
        <family val="0"/>
        <charset val="1"/>
      </rPr>
      <t xml:space="preserve">#53</t>
    </r>
    <r>
      <rPr>
        <sz val="10"/>
        <rFont val="WenQuanYi Zen Hei"/>
        <family val="2"/>
      </rPr>
      <t xml:space="preserve">のフローは動いていたが期日を見逃した案件。恒久対応「期日アラートの自動化／属人化排除」が同梱依頼シートに実装され、現場共有の場で通知されているかを現物で確認。承認日なし。</t>
    </r>
  </si>
  <si>
    <t xml:space="preserve">SCMG-69</t>
  </si>
  <si>
    <t xml:space="preserve">2025/09/01</t>
  </si>
  <si>
    <t xml:space="preserve">2025/09/03</t>
  </si>
  <si>
    <t xml:space="preserve">ヤマト発送
ビジネスメンバーズでの日時変更ができない</t>
  </si>
  <si>
    <r>
      <rPr>
        <sz val="10"/>
        <rFont val="Arial"/>
        <family val="0"/>
        <charset val="1"/>
      </rPr>
      <t xml:space="preserve">1,154</t>
    </r>
    <r>
      <rPr>
        <sz val="10"/>
        <rFont val="WenQuanYi Zen Hei"/>
        <family val="2"/>
      </rPr>
      <t xml:space="preserve">名</t>
    </r>
  </si>
  <si>
    <t xml:space="preserve">配送業者・外部起因</t>
  </si>
  <si>
    <r>
      <rPr>
        <sz val="10"/>
        <rFont val="Arial"/>
        <family val="0"/>
        <charset val="1"/>
      </rPr>
      <t xml:space="preserve">Lv3</t>
    </r>
    <r>
      <rPr>
        <sz val="10"/>
        <rFont val="WenQuanYi Zen Hei"/>
        <family val="2"/>
      </rPr>
      <t xml:space="preserve">・</t>
    </r>
    <r>
      <rPr>
        <sz val="10"/>
        <rFont val="Arial"/>
        <family val="0"/>
        <charset val="1"/>
      </rPr>
      <t xml:space="preserve">1,154</t>
    </r>
    <r>
      <rPr>
        <sz val="10"/>
        <rFont val="WenQuanYi Zen Hei"/>
        <family val="2"/>
      </rPr>
      <t xml:space="preserve">名影響だが恒久対応策空欄（原因不明のまま）。クローズ判断の根拠を確認。</t>
    </r>
  </si>
  <si>
    <t xml:space="preserve">SCMG-70</t>
  </si>
  <si>
    <t xml:space="preserve">2025/11/03</t>
  </si>
  <si>
    <r>
      <rPr>
        <sz val="10"/>
        <rFont val="WenQuanYi Zen Hei"/>
        <family val="2"/>
      </rPr>
      <t xml:space="preserve">日本郵便発送
</t>
    </r>
    <r>
      <rPr>
        <sz val="10"/>
        <rFont val="Arial"/>
        <family val="0"/>
        <charset val="1"/>
      </rPr>
      <t xml:space="preserve">11/3</t>
    </r>
    <r>
      <rPr>
        <sz val="10"/>
        <rFont val="WenQuanYi Zen Hei"/>
        <family val="2"/>
      </rPr>
      <t xml:space="preserve">発送予定分が、発送できてません。</t>
    </r>
  </si>
  <si>
    <r>
      <rPr>
        <sz val="10"/>
        <rFont val="Arial"/>
        <family val="0"/>
        <charset val="1"/>
      </rPr>
      <t xml:space="preserve">109</t>
    </r>
    <r>
      <rPr>
        <sz val="10"/>
        <rFont val="WenQuanYi Zen Hei"/>
        <family val="2"/>
      </rPr>
      <t xml:space="preserve">名
対象者への出荷が一日遅延します。</t>
    </r>
  </si>
  <si>
    <t xml:space="preserve">外部（ピックゴー）起因だが恒久対応策空欄。委託先への再発防止要請・補償の記録を確認。</t>
  </si>
  <si>
    <t xml:space="preserve">SCMG-71</t>
  </si>
  <si>
    <t xml:space="preserve">2025/11/06</t>
  </si>
  <si>
    <t xml:space="preserve">佐川急便配送・返送
配送遅延</t>
  </si>
  <si>
    <r>
      <rPr>
        <sz val="10"/>
        <rFont val="WenQuanYi Zen Hei"/>
        <family val="2"/>
      </rPr>
      <t xml:space="preserve">現状、佐川様から連絡あった人数
</t>
    </r>
    <r>
      <rPr>
        <sz val="10"/>
        <rFont val="Arial"/>
        <family val="0"/>
        <charset val="1"/>
      </rPr>
      <t xml:space="preserve">258</t>
    </r>
    <r>
      <rPr>
        <sz val="10"/>
        <rFont val="WenQuanYi Zen Hei"/>
        <family val="2"/>
      </rPr>
      <t xml:space="preserve">名
（</t>
    </r>
    <r>
      <rPr>
        <sz val="10"/>
        <rFont val="Arial"/>
        <family val="0"/>
        <charset val="1"/>
      </rPr>
      <t xml:space="preserve">11</t>
    </r>
    <r>
      <rPr>
        <sz val="10"/>
        <rFont val="WenQuanYi Zen Hei"/>
        <family val="2"/>
      </rPr>
      <t xml:space="preserve">月</t>
    </r>
    <r>
      <rPr>
        <sz val="10"/>
        <rFont val="Arial"/>
        <family val="0"/>
        <charset val="1"/>
      </rPr>
      <t xml:space="preserve">5</t>
    </r>
    <r>
      <rPr>
        <sz val="10"/>
        <rFont val="WenQuanYi Zen Hei"/>
        <family val="2"/>
      </rPr>
      <t xml:space="preserve">日発送</t>
    </r>
    <r>
      <rPr>
        <sz val="10"/>
        <rFont val="Arial"/>
        <family val="0"/>
        <charset val="1"/>
      </rPr>
      <t xml:space="preserve">6</t>
    </r>
    <r>
      <rPr>
        <sz val="10"/>
        <rFont val="WenQuanYi Zen Hei"/>
        <family val="2"/>
      </rPr>
      <t xml:space="preserve">日着のお客様）
状況が落ち着くまで増加の可能性あり</t>
    </r>
  </si>
  <si>
    <t xml:space="preserve">原因分類・恒久対応策ともに空欄。外部起因でも分類と「対応不要」の判断記録は必要。</t>
  </si>
  <si>
    <t xml:space="preserve">SCMG-72</t>
  </si>
  <si>
    <t xml:space="preserve">2025/10/31</t>
  </si>
  <si>
    <t xml:space="preserve">2025/11/04</t>
  </si>
  <si>
    <t xml:space="preserve">在庫が存在しない商品を販売在庫として反映させてしまったショップ切替ミス</t>
  </si>
  <si>
    <r>
      <rPr>
        <sz val="10"/>
        <rFont val="WenQuanYi Zen Hei"/>
        <family val="2"/>
      </rPr>
      <t xml:space="preserve">販売予定お客様</t>
    </r>
    <r>
      <rPr>
        <sz val="10"/>
        <rFont val="Arial"/>
        <family val="0"/>
        <charset val="1"/>
      </rPr>
      <t xml:space="preserve">6</t>
    </r>
    <r>
      <rPr>
        <sz val="10"/>
        <rFont val="WenQuanYi Zen Hei"/>
        <family val="2"/>
      </rPr>
      <t xml:space="preserve">名</t>
    </r>
  </si>
  <si>
    <t xml:space="preserve">在庫・ショップ切替</t>
  </si>
  <si>
    <t xml:space="preserve">SCMG-73</t>
  </si>
  <si>
    <t xml:space="preserve">2025/11/22</t>
  </si>
  <si>
    <r>
      <rPr>
        <sz val="10"/>
        <rFont val="Arial"/>
        <family val="0"/>
        <charset val="1"/>
      </rPr>
      <t xml:space="preserve">202511</t>
    </r>
    <r>
      <rPr>
        <sz val="10"/>
        <rFont val="WenQuanYi Zen Hei"/>
        <family val="2"/>
      </rPr>
      <t xml:space="preserve">度のエコセ用福袋に関して中身のテレコが発生</t>
    </r>
  </si>
  <si>
    <r>
      <rPr>
        <sz val="10"/>
        <rFont val="WenQuanYi Zen Hei"/>
        <family val="2"/>
      </rPr>
      <t xml:space="preserve">テレコ対象個品</t>
    </r>
    <r>
      <rPr>
        <sz val="10"/>
        <rFont val="Arial"/>
        <family val="0"/>
        <charset val="1"/>
      </rPr>
      <t xml:space="preserve">53</t>
    </r>
    <r>
      <rPr>
        <sz val="10"/>
        <rFont val="WenQuanYi Zen Hei"/>
        <family val="2"/>
      </rPr>
      <t xml:space="preserve">点中
お客様に発送済みで返金対応　</t>
    </r>
    <r>
      <rPr>
        <sz val="10"/>
        <rFont val="Arial"/>
        <family val="0"/>
        <charset val="1"/>
      </rPr>
      <t xml:space="preserve">20</t>
    </r>
    <r>
      <rPr>
        <sz val="10"/>
        <rFont val="WenQuanYi Zen Hei"/>
        <family val="2"/>
      </rPr>
      <t xml:space="preserve">件
発送前で、欠品発送</t>
    </r>
    <r>
      <rPr>
        <sz val="10"/>
        <rFont val="Arial"/>
        <family val="0"/>
        <charset val="1"/>
      </rPr>
      <t xml:space="preserve">or</t>
    </r>
    <r>
      <rPr>
        <sz val="10"/>
        <rFont val="WenQuanYi Zen Hei"/>
        <family val="2"/>
      </rPr>
      <t xml:space="preserve">キャンセル　</t>
    </r>
    <r>
      <rPr>
        <sz val="10"/>
        <rFont val="Arial"/>
        <family val="0"/>
        <charset val="1"/>
      </rPr>
      <t xml:space="preserve">14</t>
    </r>
    <r>
      <rPr>
        <sz val="10"/>
        <rFont val="WenQuanYi Zen Hei"/>
        <family val="2"/>
      </rPr>
      <t xml:space="preserve">件</t>
    </r>
  </si>
  <si>
    <r>
      <rPr>
        <sz val="10"/>
        <rFont val="Arial"/>
        <family val="0"/>
        <charset val="1"/>
      </rPr>
      <t xml:space="preserve">Lv3</t>
    </r>
    <r>
      <rPr>
        <sz val="10"/>
        <rFont val="WenQuanYi Zen Hei"/>
        <family val="2"/>
      </rPr>
      <t xml:space="preserve">だが恒久対応策が空欄。福袋作成指示シートの数式更新漏れ＝手作業依存。再発防止策の有無を確認。</t>
    </r>
  </si>
  <si>
    <t xml:space="preserve">SCMG-74</t>
  </si>
  <si>
    <t xml:space="preserve">2025/11/29</t>
  </si>
  <si>
    <t xml:space="preserve">2025/11/28</t>
  </si>
  <si>
    <r>
      <rPr>
        <sz val="10"/>
        <rFont val="Arial"/>
        <family val="0"/>
        <charset val="1"/>
      </rPr>
      <t xml:space="preserve">11/29</t>
    </r>
    <r>
      <rPr>
        <sz val="10"/>
        <rFont val="WenQuanYi Zen Hei"/>
        <family val="2"/>
      </rPr>
      <t xml:space="preserve">発送分の佐川急便集荷が行われない</t>
    </r>
  </si>
  <si>
    <t xml:space="preserve">配送業者起因</t>
  </si>
  <si>
    <r>
      <rPr>
        <sz val="10"/>
        <rFont val="Arial"/>
        <family val="0"/>
        <charset val="1"/>
      </rPr>
      <t xml:space="preserve">11/29</t>
    </r>
    <r>
      <rPr>
        <sz val="10"/>
        <rFont val="WenQuanYi Zen Hei"/>
        <family val="2"/>
      </rPr>
      <t xml:space="preserve">日佐川急便で発送予定だったお客様
</t>
    </r>
    <r>
      <rPr>
        <sz val="10"/>
        <rFont val="Arial"/>
        <family val="0"/>
        <charset val="1"/>
      </rPr>
      <t xml:space="preserve">962</t>
    </r>
    <r>
      <rPr>
        <sz val="10"/>
        <rFont val="WenQuanYi Zen Hei"/>
        <family val="2"/>
      </rPr>
      <t xml:space="preserve">名</t>
    </r>
  </si>
  <si>
    <t xml:space="preserve">配送業者起因。繁忙期の集荷停止に備えた代替配送の検討があるか確認。</t>
  </si>
  <si>
    <t xml:space="preserve">SCMG-75</t>
  </si>
  <si>
    <t xml:space="preserve">Mall</t>
  </si>
  <si>
    <t xml:space="preserve">2025/12/18</t>
  </si>
  <si>
    <t xml:space="preserve">2026/01/24</t>
  </si>
  <si>
    <t xml:space="preserve">伝票同梱による、個人情報流出</t>
  </si>
  <si>
    <r>
      <rPr>
        <sz val="10"/>
        <rFont val="Arial"/>
        <family val="0"/>
        <charset val="1"/>
      </rPr>
      <t xml:space="preserve">2</t>
    </r>
    <r>
      <rPr>
        <sz val="10"/>
        <rFont val="WenQuanYi Zen Hei"/>
        <family val="2"/>
      </rPr>
      <t xml:space="preserve">名</t>
    </r>
    <r>
      <rPr>
        <sz val="10"/>
        <rFont val="Arial"/>
        <family val="0"/>
        <charset val="1"/>
      </rPr>
      <t xml:space="preserve">(</t>
    </r>
    <r>
      <rPr>
        <sz val="10"/>
        <rFont val="WenQuanYi Zen Hei"/>
        <family val="2"/>
      </rPr>
      <t xml:space="preserve">個人情報を流出させてしまったお客様と、個人情報を受け取ったお客様</t>
    </r>
    <r>
      <rPr>
        <sz val="10"/>
        <rFont val="Arial"/>
        <family val="0"/>
        <charset val="1"/>
      </rPr>
      <t xml:space="preserve">)</t>
    </r>
  </si>
  <si>
    <r>
      <rPr>
        <sz val="10"/>
        <rFont val="WenQuanYi Zen Hei"/>
        <family val="2"/>
      </rPr>
      <t xml:space="preserve">現場側の恒久対応に関しては、
① 返却荷受後のお客様送り状は即時廃棄とし、廃棄時に当日の返却点数と送り状枚数の一致確認を行う運用へ変更→ 物理的に送り状が工程内に残らない構造へ移行し、混入リスクを排除します。
② </t>
    </r>
    <r>
      <rPr>
        <sz val="10"/>
        <rFont val="Arial"/>
        <family val="0"/>
        <charset val="1"/>
      </rPr>
      <t xml:space="preserve">B</t>
    </r>
    <r>
      <rPr>
        <sz val="10"/>
        <rFont val="WenQuanYi Zen Hei"/>
        <family val="2"/>
      </rPr>
      <t xml:space="preserve">品対応時の情報管理は、付箋・メモ用紙等の個別管理を廃止し、すべてメンテナンスチェックシートのメモ欄へ一元集約→ 情報管理媒体を統一し、工程内情報の分散・逸脱を防止します。
</t>
    </r>
    <r>
      <rPr>
        <sz val="10"/>
        <rFont val="Arial"/>
        <family val="0"/>
        <charset val="1"/>
      </rPr>
      <t xml:space="preserve">SCM</t>
    </r>
    <r>
      <rPr>
        <sz val="10"/>
        <rFont val="WenQuanYi Zen Hei"/>
        <family val="2"/>
      </rPr>
      <t xml:space="preserve">、</t>
    </r>
    <r>
      <rPr>
        <sz val="10"/>
        <rFont val="Arial"/>
        <family val="0"/>
        <charset val="1"/>
      </rPr>
      <t xml:space="preserve">mall</t>
    </r>
    <r>
      <rPr>
        <sz val="10"/>
        <rFont val="WenQuanYi Zen Hei"/>
        <family val="2"/>
      </rPr>
      <t xml:space="preserve">からの対応としては、お客様管理シートのアップデートと周知徹底、を行い、現場で個人情報が保管される状態を是正する。</t>
    </r>
  </si>
  <si>
    <t xml:space="preserve">Don</t>
  </si>
  <si>
    <t xml:space="preserve">個人情報（伝票混入）</t>
  </si>
  <si>
    <t xml:space="preserve">★事例⑤</t>
  </si>
  <si>
    <r>
      <rPr>
        <sz val="10"/>
        <rFont val="WenQuanYi Zen Hei"/>
        <family val="2"/>
      </rPr>
      <t xml:space="preserve">「返却荷受後の送り状即時廃棄＋当日返却点数と送り状枚数の一致確認」「</t>
    </r>
    <r>
      <rPr>
        <sz val="10"/>
        <rFont val="Arial"/>
        <family val="0"/>
        <charset val="1"/>
      </rPr>
      <t xml:space="preserve">B</t>
    </r>
    <r>
      <rPr>
        <sz val="10"/>
        <rFont val="WenQuanYi Zen Hei"/>
        <family val="2"/>
      </rPr>
      <t xml:space="preserve">品メモのメンテチェックシート一元化」が</t>
    </r>
    <r>
      <rPr>
        <sz val="10"/>
        <rFont val="Arial"/>
        <family val="0"/>
        <charset val="1"/>
      </rPr>
      <t xml:space="preserve">OAK</t>
    </r>
    <r>
      <rPr>
        <sz val="10"/>
        <rFont val="WenQuanYi Zen Hei"/>
        <family val="2"/>
      </rPr>
      <t xml:space="preserve">物流の手順に反映されているか。改訂手順書・一致確認記録を確認。完了予定日・完了日なし。</t>
    </r>
  </si>
  <si>
    <t xml:space="preserve">SCMG-76</t>
  </si>
  <si>
    <t xml:space="preserve">2026/02/28</t>
  </si>
  <si>
    <t xml:space="preserve">出荷締め漏れにより、お客様に出荷完了メールが飛ばない</t>
  </si>
  <si>
    <r>
      <rPr>
        <sz val="10"/>
        <rFont val="Arial"/>
        <family val="0"/>
        <charset val="1"/>
      </rPr>
      <t xml:space="preserve">60</t>
    </r>
    <r>
      <rPr>
        <sz val="10"/>
        <rFont val="WenQuanYi Zen Hei"/>
        <family val="2"/>
      </rPr>
      <t xml:space="preserve">件</t>
    </r>
  </si>
  <si>
    <r>
      <rPr>
        <sz val="10"/>
        <rFont val="WenQuanYi Zen Hei"/>
        <family val="2"/>
      </rPr>
      <t xml:space="preserve">出荷締め完了後に</t>
    </r>
    <r>
      <rPr>
        <sz val="10"/>
        <rFont val="Arial"/>
        <family val="0"/>
        <charset val="1"/>
      </rPr>
      <t xml:space="preserve">SCM</t>
    </r>
    <r>
      <rPr>
        <sz val="10"/>
        <rFont val="WenQuanYi Zen Hei"/>
        <family val="2"/>
      </rPr>
      <t xml:space="preserve">に連絡を送っていただく
</t>
    </r>
    <r>
      <rPr>
        <sz val="10"/>
        <rFont val="Arial"/>
        <family val="0"/>
        <charset val="1"/>
      </rPr>
      <t xml:space="preserve">SCM</t>
    </r>
    <r>
      <rPr>
        <sz val="10"/>
        <rFont val="WenQuanYi Zen Hei"/>
        <family val="2"/>
      </rPr>
      <t xml:space="preserve">も</t>
    </r>
    <r>
      <rPr>
        <sz val="10"/>
        <rFont val="Arial"/>
        <family val="0"/>
        <charset val="1"/>
      </rPr>
      <t xml:space="preserve">18:00</t>
    </r>
    <r>
      <rPr>
        <sz val="10"/>
        <rFont val="WenQuanYi Zen Hei"/>
        <family val="2"/>
      </rPr>
      <t xml:space="preserve">までに連絡がない場合は確認を行う
現状</t>
    </r>
    <r>
      <rPr>
        <sz val="10"/>
        <rFont val="Arial"/>
        <family val="0"/>
        <charset val="1"/>
      </rPr>
      <t xml:space="preserve">bridge</t>
    </r>
    <r>
      <rPr>
        <sz val="10"/>
        <rFont val="WenQuanYi Zen Hei"/>
        <family val="2"/>
      </rPr>
      <t xml:space="preserve">を使用していない為、システム的にステータス変更後に通知を飛ばすのは困難な為、現状手動・能動的な確認対応で再発防止に努めている段階です。
以下、オーク様側からいただいた再発防止対応になります。
■運用ルール
① 毎日</t>
    </r>
    <r>
      <rPr>
        <sz val="10"/>
        <rFont val="Arial"/>
        <family val="0"/>
        <charset val="1"/>
      </rPr>
      <t xml:space="preserve">17</t>
    </r>
    <r>
      <rPr>
        <sz val="10"/>
        <rFont val="WenQuanYi Zen Hei"/>
        <family val="2"/>
      </rPr>
      <t xml:space="preserve">時にアラームを設定
② アラームは任意で解除しない
③ アラーム作動時は他作業を中断し、締め作業を最優先とする
④ 締め完了後、必ず</t>
    </r>
    <r>
      <rPr>
        <sz val="10"/>
        <rFont val="Arial"/>
        <family val="0"/>
        <charset val="1"/>
      </rPr>
      <t xml:space="preserve">Slack</t>
    </r>
    <r>
      <rPr>
        <sz val="10"/>
        <rFont val="WenQuanYi Zen Hei"/>
        <family val="2"/>
      </rPr>
      <t xml:space="preserve">へ完了報告を行う</t>
    </r>
  </si>
  <si>
    <t xml:space="preserve">出荷締め漏れ</t>
  </si>
  <si>
    <t xml:space="preserve">★事例②</t>
  </si>
  <si>
    <r>
      <rPr>
        <sz val="10"/>
        <rFont val="Arial"/>
        <family val="0"/>
        <charset val="1"/>
      </rPr>
      <t xml:space="preserve">OAK</t>
    </r>
    <r>
      <rPr>
        <sz val="10"/>
        <rFont val="WenQuanYi Zen Hei"/>
        <family val="2"/>
      </rPr>
      <t xml:space="preserve">物流側ルール（</t>
    </r>
    <r>
      <rPr>
        <sz val="10"/>
        <rFont val="Arial"/>
        <family val="0"/>
        <charset val="1"/>
      </rPr>
      <t xml:space="preserve">17</t>
    </r>
    <r>
      <rPr>
        <sz val="10"/>
        <rFont val="WenQuanYi Zen Hei"/>
        <family val="2"/>
      </rPr>
      <t xml:space="preserve">時アラーム／締め完了後の</t>
    </r>
    <r>
      <rPr>
        <sz val="10"/>
        <rFont val="Arial"/>
        <family val="0"/>
        <charset val="1"/>
      </rPr>
      <t xml:space="preserve">Slack</t>
    </r>
    <r>
      <rPr>
        <sz val="10"/>
        <rFont val="WenQuanYi Zen Hei"/>
        <family val="2"/>
      </rPr>
      <t xml:space="preserve">報告）と</t>
    </r>
    <r>
      <rPr>
        <sz val="10"/>
        <rFont val="Arial"/>
        <family val="0"/>
        <charset val="1"/>
      </rPr>
      <t xml:space="preserve">SCM</t>
    </r>
    <r>
      <rPr>
        <sz val="10"/>
        <rFont val="WenQuanYi Zen Hei"/>
        <family val="2"/>
      </rPr>
      <t xml:space="preserve">側の</t>
    </r>
    <r>
      <rPr>
        <sz val="10"/>
        <rFont val="Arial"/>
        <family val="0"/>
        <charset val="1"/>
      </rPr>
      <t xml:space="preserve">18</t>
    </r>
    <r>
      <rPr>
        <sz val="10"/>
        <rFont val="WenQuanYi Zen Hei"/>
        <family val="2"/>
      </rPr>
      <t xml:space="preserve">時確認が運用されているか。</t>
    </r>
    <r>
      <rPr>
        <sz val="10"/>
        <rFont val="Arial"/>
        <family val="0"/>
        <charset val="1"/>
      </rPr>
      <t xml:space="preserve">Slack</t>
    </r>
    <r>
      <rPr>
        <sz val="10"/>
        <rFont val="WenQuanYi Zen Hei"/>
        <family val="2"/>
      </rPr>
      <t xml:space="preserve">の完了報告履歴（直近</t>
    </r>
    <r>
      <rPr>
        <sz val="10"/>
        <rFont val="Arial"/>
        <family val="0"/>
        <charset val="1"/>
      </rPr>
      <t xml:space="preserve">1</t>
    </r>
    <r>
      <rPr>
        <sz val="10"/>
        <rFont val="WenQuanYi Zen Hei"/>
        <family val="2"/>
      </rPr>
      <t xml:space="preserve">〜</t>
    </r>
    <r>
      <rPr>
        <sz val="10"/>
        <rFont val="Arial"/>
        <family val="0"/>
        <charset val="1"/>
      </rPr>
      <t xml:space="preserve">2</t>
    </r>
    <r>
      <rPr>
        <sz val="10"/>
        <rFont val="WenQuanYi Zen Hei"/>
        <family val="2"/>
      </rPr>
      <t xml:space="preserve">週間）を確認。</t>
    </r>
    <r>
      <rPr>
        <sz val="10"/>
        <rFont val="Arial"/>
        <family val="0"/>
        <charset val="1"/>
      </rPr>
      <t xml:space="preserve">2</t>
    </r>
    <r>
      <rPr>
        <sz val="10"/>
        <rFont val="WenQuanYi Zen Hei"/>
        <family val="2"/>
      </rPr>
      <t xml:space="preserve">週間後に</t>
    </r>
    <r>
      <rPr>
        <sz val="10"/>
        <rFont val="Arial"/>
        <family val="0"/>
        <charset val="1"/>
      </rPr>
      <t xml:space="preserve">#77</t>
    </r>
    <r>
      <rPr>
        <sz val="10"/>
        <rFont val="WenQuanYi Zen Hei"/>
        <family val="2"/>
      </rPr>
      <t xml:space="preserve">で同型再発。</t>
    </r>
  </si>
  <si>
    <t xml:space="preserve">SCMG-77</t>
  </si>
  <si>
    <t xml:space="preserve">2026/03/16</t>
  </si>
  <si>
    <t xml:space="preserve">2026/03/17</t>
  </si>
  <si>
    <t xml:space="preserve">【東京ソワール様】案件において出荷締め漏れが発生し、お客様に出荷完了メールが飛ばない</t>
  </si>
  <si>
    <r>
      <rPr>
        <sz val="10"/>
        <rFont val="Arial"/>
        <family val="0"/>
        <charset val="1"/>
      </rPr>
      <t xml:space="preserve">24</t>
    </r>
    <r>
      <rPr>
        <sz val="10"/>
        <rFont val="WenQuanYi Zen Hei"/>
        <family val="2"/>
      </rPr>
      <t xml:space="preserve">件</t>
    </r>
  </si>
  <si>
    <r>
      <rPr>
        <sz val="10"/>
        <rFont val="WenQuanYi Zen Hei"/>
        <family val="2"/>
      </rPr>
      <t xml:space="preserve">出荷締めの実施有無を日次で確認する</t>
    </r>
    <r>
      <rPr>
        <sz val="10"/>
        <rFont val="Arial"/>
        <family val="0"/>
        <charset val="1"/>
      </rPr>
      <t xml:space="preserve">Slack</t>
    </r>
    <r>
      <rPr>
        <sz val="10"/>
        <rFont val="WenQuanYi Zen Hei"/>
        <family val="2"/>
      </rPr>
      <t xml:space="preserve">通知を導入する。
あわせて、出荷締め完了時には当該通知スレッドへ完了報告を行う運用とすることで、対応状況の可視化および対応漏れの防止を図る。</t>
    </r>
  </si>
  <si>
    <r>
      <rPr>
        <sz val="10"/>
        <rFont val="WenQuanYi Zen Hei"/>
        <family val="2"/>
      </rPr>
      <t xml:space="preserve">「出荷締め実施有無を日次確認する</t>
    </r>
    <r>
      <rPr>
        <sz val="10"/>
        <rFont val="Arial"/>
        <family val="0"/>
        <charset val="1"/>
      </rPr>
      <t xml:space="preserve">Slack</t>
    </r>
    <r>
      <rPr>
        <sz val="10"/>
        <rFont val="WenQuanYi Zen Hei"/>
        <family val="2"/>
      </rPr>
      <t xml:space="preserve">通知」が実装・稼働しているか。通知の実物とスレッドの完了報告実績を確認。</t>
    </r>
    <r>
      <rPr>
        <sz val="10"/>
        <rFont val="Arial"/>
        <family val="0"/>
        <charset val="1"/>
      </rPr>
      <t xml:space="preserve">2021(#9)</t>
    </r>
    <r>
      <rPr>
        <sz val="10"/>
        <rFont val="WenQuanYi Zen Hei"/>
        <family val="2"/>
      </rPr>
      <t xml:space="preserve">・</t>
    </r>
    <r>
      <rPr>
        <sz val="10"/>
        <rFont val="Arial"/>
        <family val="0"/>
        <charset val="1"/>
      </rPr>
      <t xml:space="preserve">2023(#39,#40)</t>
    </r>
    <r>
      <rPr>
        <sz val="10"/>
        <rFont val="WenQuanYi Zen Hei"/>
        <family val="2"/>
      </rPr>
      <t xml:space="preserve">・</t>
    </r>
    <r>
      <rPr>
        <sz val="10"/>
        <rFont val="Arial"/>
        <family val="0"/>
        <charset val="1"/>
      </rPr>
      <t xml:space="preserve">2026(#76)</t>
    </r>
    <r>
      <rPr>
        <sz val="10"/>
        <rFont val="WenQuanYi Zen Hei"/>
        <family val="2"/>
      </rPr>
      <t xml:space="preserve">と</t>
    </r>
    <r>
      <rPr>
        <sz val="10"/>
        <rFont val="Arial"/>
        <family val="0"/>
        <charset val="1"/>
      </rPr>
      <t xml:space="preserve">5</t>
    </r>
    <r>
      <rPr>
        <sz val="10"/>
        <rFont val="WenQuanYi Zen Hei"/>
        <family val="2"/>
      </rPr>
      <t xml:space="preserve">回目の同型事象。</t>
    </r>
  </si>
  <si>
    <t xml:space="preserve">SCMG-78</t>
  </si>
  <si>
    <t xml:space="preserve">2026/04/07</t>
  </si>
  <si>
    <t xml:space="preserve">2026/4/8,4/9</t>
  </si>
  <si>
    <r>
      <rPr>
        <sz val="10"/>
        <rFont val="WenQuanYi Zen Hei"/>
        <family val="2"/>
      </rPr>
      <t xml:space="preserve">【</t>
    </r>
    <r>
      <rPr>
        <sz val="10"/>
        <rFont val="Arial"/>
        <family val="0"/>
        <charset val="1"/>
      </rPr>
      <t xml:space="preserve">vivit</t>
    </r>
    <r>
      <rPr>
        <sz val="10"/>
        <rFont val="WenQuanYi Zen Hei"/>
        <family val="2"/>
      </rPr>
      <t xml:space="preserve">】案件において、チャーターに積載する荷物を誤ってヤマト出荷として対応及び、荷物積載漏れを起こしてしまった</t>
    </r>
  </si>
  <si>
    <r>
      <rPr>
        <sz val="10"/>
        <rFont val="WenQuanYi Zen Hei"/>
        <family val="2"/>
      </rPr>
      <t xml:space="preserve">チャーター</t>
    </r>
    <r>
      <rPr>
        <sz val="10"/>
        <rFont val="Arial"/>
        <family val="0"/>
        <charset val="1"/>
      </rPr>
      <t xml:space="preserve">1</t>
    </r>
    <r>
      <rPr>
        <sz val="10"/>
        <rFont val="WenQuanYi Zen Hei"/>
        <family val="2"/>
      </rPr>
      <t xml:space="preserve">案件</t>
    </r>
  </si>
  <si>
    <t xml:space="preserve">委託先作業ミス</t>
  </si>
  <si>
    <r>
      <rPr>
        <sz val="10"/>
        <rFont val="WenQuanYi Zen Hei"/>
        <family val="2"/>
      </rPr>
      <t xml:space="preserve">委託先（</t>
    </r>
    <r>
      <rPr>
        <sz val="10"/>
        <rFont val="Arial"/>
        <family val="0"/>
        <charset val="1"/>
      </rPr>
      <t xml:space="preserve">TOPOS</t>
    </r>
    <r>
      <rPr>
        <sz val="10"/>
        <rFont val="WenQuanYi Zen Hei"/>
        <family val="2"/>
      </rPr>
      <t xml:space="preserve">）作業ミスだが恒久対応策空欄・「厳重注意」のみ。</t>
    </r>
  </si>
  <si>
    <t xml:space="preserve">SCMG-79</t>
  </si>
  <si>
    <t xml:space="preserve">2026/05/18</t>
  </si>
  <si>
    <t xml:space="preserve">2026/05/19</t>
  </si>
  <si>
    <r>
      <rPr>
        <sz val="10"/>
        <rFont val="Arial"/>
        <family val="0"/>
        <charset val="1"/>
      </rPr>
      <t xml:space="preserve">5/18</t>
    </r>
    <r>
      <rPr>
        <sz val="10"/>
        <rFont val="WenQuanYi Zen Hei"/>
        <family val="2"/>
      </rPr>
      <t xml:space="preserve">出荷分ヤマト様への出荷データ</t>
    </r>
    <r>
      <rPr>
        <sz val="10"/>
        <rFont val="Arial"/>
        <family val="0"/>
        <charset val="1"/>
      </rPr>
      <t xml:space="preserve">(</t>
    </r>
    <r>
      <rPr>
        <sz val="10"/>
        <rFont val="WenQuanYi Zen Hei"/>
        <family val="2"/>
      </rPr>
      <t xml:space="preserve">配送番号</t>
    </r>
    <r>
      <rPr>
        <sz val="10"/>
        <rFont val="Arial"/>
        <family val="0"/>
        <charset val="1"/>
      </rPr>
      <t xml:space="preserve">)</t>
    </r>
    <r>
      <rPr>
        <sz val="10"/>
        <rFont val="WenQuanYi Zen Hei"/>
        <family val="2"/>
      </rPr>
      <t xml:space="preserve">送付漏れてしまった。</t>
    </r>
  </si>
  <si>
    <r>
      <rPr>
        <sz val="10"/>
        <rFont val="Arial"/>
        <family val="0"/>
        <charset val="1"/>
      </rPr>
      <t xml:space="preserve">5/18</t>
    </r>
    <r>
      <rPr>
        <sz val="10"/>
        <rFont val="WenQuanYi Zen Hei"/>
        <family val="2"/>
      </rPr>
      <t xml:space="preserve">ヤマト運輸出荷分全て
</t>
    </r>
    <r>
      <rPr>
        <sz val="10"/>
        <rFont val="Arial"/>
        <family val="0"/>
        <charset val="1"/>
      </rPr>
      <t xml:space="preserve">276</t>
    </r>
    <r>
      <rPr>
        <sz val="10"/>
        <rFont val="WenQuanYi Zen Hei"/>
        <family val="2"/>
      </rPr>
      <t xml:space="preserve">件</t>
    </r>
  </si>
  <si>
    <r>
      <rPr>
        <sz val="10"/>
        <rFont val="Arial"/>
        <family val="0"/>
        <charset val="1"/>
      </rPr>
      <t xml:space="preserve">google</t>
    </r>
    <r>
      <rPr>
        <sz val="10"/>
        <rFont val="WenQuanYi Zen Hei"/>
        <family val="2"/>
      </rPr>
      <t xml:space="preserve">アカウントの設定直し。
事象が発生した際の共有依頼。</t>
    </r>
  </si>
  <si>
    <t xml:space="preserve">アカウント管理</t>
  </si>
  <si>
    <r>
      <rPr>
        <sz val="10"/>
        <rFont val="WenQuanYi Zen Hei"/>
        <family val="2"/>
      </rPr>
      <t xml:space="preserve">倉庫で使用する</t>
    </r>
    <r>
      <rPr>
        <sz val="10"/>
        <rFont val="Arial"/>
        <family val="0"/>
        <charset val="1"/>
      </rPr>
      <t xml:space="preserve">Google</t>
    </r>
    <r>
      <rPr>
        <sz val="10"/>
        <rFont val="WenQuanYi Zen Hei"/>
        <family val="2"/>
      </rPr>
      <t xml:space="preserve">アカウントの二段階認証でログイン不可→共有アカウントの疑い。固定設問</t>
    </r>
    <r>
      <rPr>
        <sz val="10"/>
        <rFont val="Arial"/>
        <family val="0"/>
        <charset val="1"/>
      </rPr>
      <t xml:space="preserve">No.16</t>
    </r>
    <r>
      <rPr>
        <sz val="10"/>
        <rFont val="WenQuanYi Zen Hei"/>
        <family val="2"/>
      </rPr>
      <t xml:space="preserve">（アカウント共同利用）と合わせて確認。恒久対応が「設定直し・共有依頼」のみで人依存。</t>
    </r>
  </si>
  <si>
    <t xml:space="preserve">SCMG-80</t>
  </si>
  <si>
    <t xml:space="preserve">2026/05/21</t>
  </si>
  <si>
    <t xml:space="preserve">2026/05/22</t>
  </si>
  <si>
    <r>
      <rPr>
        <sz val="10"/>
        <rFont val="Arial"/>
        <family val="0"/>
        <charset val="1"/>
      </rPr>
      <t xml:space="preserve">Mall</t>
    </r>
    <r>
      <rPr>
        <sz val="10"/>
        <rFont val="WenQuanYi Zen Hei"/>
        <family val="2"/>
      </rPr>
      <t xml:space="preserve">の商品が数点紛失状態になっている</t>
    </r>
  </si>
  <si>
    <r>
      <rPr>
        <sz val="10"/>
        <rFont val="WenQuanYi Zen Hei"/>
        <family val="2"/>
      </rPr>
      <t xml:space="preserve">商品</t>
    </r>
    <r>
      <rPr>
        <sz val="10"/>
        <rFont val="Arial"/>
        <family val="0"/>
        <charset val="1"/>
      </rPr>
      <t xml:space="preserve">6</t>
    </r>
    <r>
      <rPr>
        <sz val="10"/>
        <rFont val="WenQuanYi Zen Hei"/>
        <family val="2"/>
      </rPr>
      <t xml:space="preserve">点</t>
    </r>
  </si>
  <si>
    <r>
      <rPr>
        <sz val="10"/>
        <rFont val="WenQuanYi Zen Hei"/>
        <family val="2"/>
      </rPr>
      <t xml:space="preserve">下代合計</t>
    </r>
    <r>
      <rPr>
        <sz val="10"/>
        <rFont val="Arial"/>
        <family val="0"/>
        <charset val="1"/>
      </rPr>
      <t xml:space="preserve">:512,529</t>
    </r>
    <r>
      <rPr>
        <sz val="10"/>
        <rFont val="WenQuanYi Zen Hei"/>
        <family val="2"/>
      </rPr>
      <t xml:space="preserve">円</t>
    </r>
  </si>
  <si>
    <t xml:space="preserve">在庫・紛失</t>
  </si>
  <si>
    <r>
      <rPr>
        <sz val="10"/>
        <rFont val="Arial"/>
        <family val="0"/>
        <charset val="1"/>
      </rPr>
      <t xml:space="preserve">Lv3</t>
    </r>
    <r>
      <rPr>
        <sz val="10"/>
        <rFont val="WenQuanYi Zen Hei"/>
        <family val="2"/>
      </rPr>
      <t xml:space="preserve">・下代</t>
    </r>
    <r>
      <rPr>
        <sz val="10"/>
        <rFont val="Arial"/>
        <family val="0"/>
        <charset val="1"/>
      </rPr>
      <t xml:space="preserve">51</t>
    </r>
    <r>
      <rPr>
        <sz val="10"/>
        <rFont val="WenQuanYi Zen Hei"/>
        <family val="2"/>
      </rPr>
      <t xml:space="preserve">万円の紛失。恒久対応策空欄・調査中のまま。捜索結果と在庫差異の棚卸しルールを確認。</t>
    </r>
  </si>
  <si>
    <t xml:space="preserve">SCMG-81</t>
  </si>
  <si>
    <t xml:space="preserve">2026/05/28</t>
  </si>
  <si>
    <t xml:space="preserve">スポットレンタルで商品のテレコ発送してしまった</t>
  </si>
  <si>
    <r>
      <rPr>
        <sz val="10"/>
        <rFont val="Arial"/>
        <family val="0"/>
        <charset val="1"/>
      </rPr>
      <t xml:space="preserve">1</t>
    </r>
    <r>
      <rPr>
        <sz val="10"/>
        <rFont val="WenQuanYi Zen Hei"/>
        <family val="2"/>
      </rPr>
      <t xml:space="preserve">件</t>
    </r>
  </si>
  <si>
    <t xml:space="preserve">SCMG-82</t>
  </si>
  <si>
    <t xml:space="preserve">2026/06/03</t>
  </si>
  <si>
    <r>
      <rPr>
        <sz val="10"/>
        <rFont val="WenQuanYi Zen Hei"/>
        <family val="2"/>
      </rPr>
      <t xml:space="preserve">システム起因</t>
    </r>
    <r>
      <rPr>
        <sz val="10"/>
        <rFont val="Arial"/>
        <family val="0"/>
        <charset val="1"/>
      </rPr>
      <t xml:space="preserve">_</t>
    </r>
    <r>
      <rPr>
        <sz val="10"/>
        <rFont val="WenQuanYi Zen Hei"/>
        <family val="2"/>
      </rPr>
      <t xml:space="preserve">システムバグ</t>
    </r>
  </si>
  <si>
    <r>
      <rPr>
        <sz val="10"/>
        <rFont val="Arial"/>
        <family val="0"/>
        <charset val="1"/>
      </rPr>
      <t xml:space="preserve">84,912</t>
    </r>
    <r>
      <rPr>
        <sz val="10"/>
        <rFont val="WenQuanYi Zen Hei"/>
        <family val="2"/>
      </rPr>
      <t xml:space="preserve">円の請求漏れ</t>
    </r>
  </si>
  <si>
    <t xml:space="preserve">SCMG-83</t>
  </si>
  <si>
    <t xml:space="preserve">2026/06/05</t>
  </si>
  <si>
    <r>
      <rPr>
        <sz val="10"/>
        <rFont val="Arial"/>
        <family val="0"/>
        <charset val="1"/>
      </rPr>
      <t xml:space="preserve">2</t>
    </r>
    <r>
      <rPr>
        <sz val="10"/>
        <rFont val="WenQuanYi Zen Hei"/>
        <family val="2"/>
      </rPr>
      <t xml:space="preserve">件</t>
    </r>
  </si>
  <si>
    <r>
      <rPr>
        <b val="true"/>
        <sz val="10"/>
        <rFont val="WenQuanYi Zen Hei"/>
        <family val="2"/>
      </rPr>
      <t xml:space="preserve">① 年別</t>
    </r>
    <r>
      <rPr>
        <b val="true"/>
        <sz val="10"/>
        <rFont val="Arial"/>
        <family val="0"/>
        <charset val="1"/>
      </rPr>
      <t xml:space="preserve">×</t>
    </r>
    <r>
      <rPr>
        <b val="true"/>
        <sz val="10"/>
        <rFont val="WenQuanYi Zen Hei"/>
        <family val="2"/>
      </rPr>
      <t xml:space="preserve">レベル別（発見年ベース）</t>
    </r>
  </si>
  <si>
    <r>
      <rPr>
        <b val="true"/>
        <sz val="10"/>
        <color rgb="FFFFFFFF"/>
        <rFont val="WenQuanYi Zen Hei"/>
        <family val="2"/>
      </rPr>
      <t xml:space="preserve">レベル</t>
    </r>
    <r>
      <rPr>
        <b val="true"/>
        <sz val="10"/>
        <color rgb="FFFFFFFF"/>
        <rFont val="Arial"/>
        <family val="0"/>
        <charset val="1"/>
      </rPr>
      <t xml:space="preserve">1</t>
    </r>
  </si>
  <si>
    <r>
      <rPr>
        <b val="true"/>
        <sz val="10"/>
        <color rgb="FFFFFFFF"/>
        <rFont val="WenQuanYi Zen Hei"/>
        <family val="2"/>
      </rPr>
      <t xml:space="preserve">レベル</t>
    </r>
    <r>
      <rPr>
        <b val="true"/>
        <sz val="10"/>
        <color rgb="FFFFFFFF"/>
        <rFont val="Arial"/>
        <family val="0"/>
        <charset val="1"/>
      </rPr>
      <t xml:space="preserve">2</t>
    </r>
  </si>
  <si>
    <r>
      <rPr>
        <b val="true"/>
        <sz val="10"/>
        <color rgb="FFFFFFFF"/>
        <rFont val="WenQuanYi Zen Hei"/>
        <family val="2"/>
      </rPr>
      <t xml:space="preserve">レベル</t>
    </r>
    <r>
      <rPr>
        <b val="true"/>
        <sz val="10"/>
        <color rgb="FFFFFFFF"/>
        <rFont val="Arial"/>
        <family val="0"/>
        <charset val="1"/>
      </rPr>
      <t xml:space="preserve">3</t>
    </r>
  </si>
  <si>
    <r>
      <rPr>
        <b val="true"/>
        <sz val="10"/>
        <color rgb="FFFFFFFF"/>
        <rFont val="WenQuanYi Zen Hei"/>
        <family val="2"/>
      </rPr>
      <t xml:space="preserve">他</t>
    </r>
    <r>
      <rPr>
        <b val="true"/>
        <sz val="10"/>
        <color rgb="FFFFFFFF"/>
        <rFont val="Arial"/>
        <family val="0"/>
        <charset val="1"/>
      </rPr>
      <t xml:space="preserve">G</t>
    </r>
    <r>
      <rPr>
        <b val="true"/>
        <sz val="10"/>
        <color rgb="FFFFFFFF"/>
        <rFont val="WenQuanYi Zen Hei"/>
        <family val="2"/>
      </rPr>
      <t xml:space="preserve">で起票</t>
    </r>
  </si>
  <si>
    <t xml:space="preserve">合計</t>
  </si>
  <si>
    <r>
      <rPr>
        <sz val="10"/>
        <rFont val="Arial"/>
        <family val="0"/>
        <charset val="1"/>
      </rPr>
      <t xml:space="preserve">※2026</t>
    </r>
    <r>
      <rPr>
        <sz val="10"/>
        <rFont val="WenQuanYi Zen Hei"/>
        <family val="2"/>
      </rPr>
      <t xml:space="preserve">年は</t>
    </r>
    <r>
      <rPr>
        <sz val="10"/>
        <rFont val="Arial"/>
        <family val="0"/>
        <charset val="1"/>
      </rPr>
      <t xml:space="preserve">6</t>
    </r>
    <r>
      <rPr>
        <sz val="10"/>
        <rFont val="WenQuanYi Zen Hei"/>
        <family val="2"/>
      </rPr>
      <t xml:space="preserve">月</t>
    </r>
    <r>
      <rPr>
        <sz val="10"/>
        <rFont val="Arial"/>
        <family val="0"/>
        <charset val="1"/>
      </rPr>
      <t xml:space="preserve">5</t>
    </r>
    <r>
      <rPr>
        <sz val="10"/>
        <rFont val="WenQuanYi Zen Hei"/>
        <family val="2"/>
      </rPr>
      <t xml:space="preserve">日まで（シート最終更新日）。</t>
    </r>
  </si>
  <si>
    <r>
      <rPr>
        <b val="true"/>
        <sz val="10"/>
        <rFont val="WenQuanYi Zen Hei"/>
        <family val="2"/>
      </rPr>
      <t xml:space="preserve">② 原因分類</t>
    </r>
    <r>
      <rPr>
        <b val="true"/>
        <sz val="10"/>
        <rFont val="Arial"/>
        <family val="0"/>
        <charset val="1"/>
      </rPr>
      <t xml:space="preserve">×</t>
    </r>
    <r>
      <rPr>
        <b val="true"/>
        <sz val="10"/>
        <rFont val="WenQuanYi Zen Hei"/>
        <family val="2"/>
      </rPr>
      <t xml:space="preserve">レベル（</t>
    </r>
    <r>
      <rPr>
        <b val="true"/>
        <sz val="10"/>
        <rFont val="Arial"/>
        <family val="0"/>
        <charset val="1"/>
      </rPr>
      <t xml:space="preserve">2024-2026</t>
    </r>
    <r>
      <rPr>
        <b val="true"/>
        <sz val="10"/>
        <rFont val="WenQuanYi Zen Hei"/>
        <family val="2"/>
      </rPr>
      <t xml:space="preserve">）</t>
    </r>
  </si>
  <si>
    <t xml:space="preserve">（空欄）</t>
  </si>
  <si>
    <r>
      <rPr>
        <sz val="10"/>
        <rFont val="WenQuanYi Zen Hei"/>
        <family val="2"/>
      </rPr>
      <t xml:space="preserve">業務起因の比率（レベル</t>
    </r>
    <r>
      <rPr>
        <sz val="10"/>
        <rFont val="Arial"/>
        <family val="0"/>
        <charset val="1"/>
      </rPr>
      <t xml:space="preserve">3</t>
    </r>
    <r>
      <rPr>
        <sz val="10"/>
        <rFont val="WenQuanYi Zen Hei"/>
        <family val="2"/>
      </rPr>
      <t xml:space="preserve">）</t>
    </r>
  </si>
  <si>
    <t xml:space="preserve">③ 恒久対応の記録状況</t>
  </si>
  <si>
    <t xml:space="preserve">指標</t>
  </si>
  <si>
    <t xml:space="preserve">全体（件）</t>
  </si>
  <si>
    <t xml:space="preserve">全体（率）</t>
  </si>
  <si>
    <r>
      <rPr>
        <b val="true"/>
        <sz val="10"/>
        <color rgb="FFFFFFFF"/>
        <rFont val="WenQuanYi Zen Hei"/>
        <family val="2"/>
      </rPr>
      <t xml:space="preserve">レベル</t>
    </r>
    <r>
      <rPr>
        <b val="true"/>
        <sz val="10"/>
        <color rgb="FFFFFFFF"/>
        <rFont val="Arial"/>
        <family val="0"/>
        <charset val="1"/>
      </rPr>
      <t xml:space="preserve">3</t>
    </r>
    <r>
      <rPr>
        <b val="true"/>
        <sz val="10"/>
        <color rgb="FFFFFFFF"/>
        <rFont val="WenQuanYi Zen Hei"/>
        <family val="2"/>
      </rPr>
      <t xml:space="preserve">（件）</t>
    </r>
  </si>
  <si>
    <r>
      <rPr>
        <b val="true"/>
        <sz val="10"/>
        <color rgb="FFFFFFFF"/>
        <rFont val="WenQuanYi Zen Hei"/>
        <family val="2"/>
      </rPr>
      <t xml:space="preserve">レベル</t>
    </r>
    <r>
      <rPr>
        <b val="true"/>
        <sz val="10"/>
        <color rgb="FFFFFFFF"/>
        <rFont val="Arial"/>
        <family val="0"/>
        <charset val="1"/>
      </rPr>
      <t xml:space="preserve">3</t>
    </r>
    <r>
      <rPr>
        <b val="true"/>
        <sz val="10"/>
        <color rgb="FFFFFFFF"/>
        <rFont val="WenQuanYi Zen Hei"/>
        <family val="2"/>
      </rPr>
      <t xml:space="preserve">（率）</t>
    </r>
  </si>
  <si>
    <t xml:space="preserve">母集団件数</t>
  </si>
  <si>
    <t xml:space="preserve">恒久対応策の記入</t>
  </si>
  <si>
    <t xml:space="preserve">恒久対応承認者の記入</t>
  </si>
  <si>
    <t xml:space="preserve">恒久対応承認日の記入</t>
  </si>
  <si>
    <t xml:space="preserve">完了予定日の設定</t>
  </si>
  <si>
    <t xml:space="preserve">対応完了日の記入</t>
  </si>
  <si>
    <t xml:space="preserve">有効性の記入</t>
  </si>
  <si>
    <r>
      <rPr>
        <sz val="10"/>
        <rFont val="WenQuanYi Zen Hei"/>
        <family val="2"/>
      </rPr>
      <t xml:space="preserve">参考：</t>
    </r>
    <r>
      <rPr>
        <sz val="10"/>
        <rFont val="Arial"/>
        <family val="0"/>
        <charset val="1"/>
      </rPr>
      <t xml:space="preserve">GRG</t>
    </r>
    <r>
      <rPr>
        <sz val="10"/>
        <rFont val="WenQuanYi Zen Hei"/>
        <family val="2"/>
      </rPr>
      <t xml:space="preserve">（</t>
    </r>
    <r>
      <rPr>
        <sz val="10"/>
        <rFont val="Arial"/>
        <family val="0"/>
        <charset val="1"/>
      </rPr>
      <t xml:space="preserve">2024-2026</t>
    </r>
    <r>
      <rPr>
        <sz val="10"/>
        <rFont val="WenQuanYi Zen Hei"/>
        <family val="2"/>
      </rPr>
      <t xml:space="preserve">・</t>
    </r>
    <r>
      <rPr>
        <sz val="10"/>
        <rFont val="Arial"/>
        <family val="0"/>
        <charset val="1"/>
      </rPr>
      <t xml:space="preserve">159</t>
    </r>
    <r>
      <rPr>
        <sz val="10"/>
        <rFont val="WenQuanYi Zen Hei"/>
        <family val="2"/>
      </rPr>
      <t xml:space="preserve">件）は恒久対応策</t>
    </r>
    <r>
      <rPr>
        <sz val="10"/>
        <rFont val="Arial"/>
        <family val="0"/>
        <charset val="1"/>
      </rPr>
      <t xml:space="preserve">93.1%</t>
    </r>
    <r>
      <rPr>
        <sz val="10"/>
        <rFont val="WenQuanYi Zen Hei"/>
        <family val="2"/>
      </rPr>
      <t xml:space="preserve">／完了予定日</t>
    </r>
    <r>
      <rPr>
        <sz val="10"/>
        <rFont val="Arial"/>
        <family val="0"/>
        <charset val="1"/>
      </rPr>
      <t xml:space="preserve">52.8%</t>
    </r>
    <r>
      <rPr>
        <sz val="10"/>
        <rFont val="WenQuanYi Zen Hei"/>
        <family val="2"/>
      </rPr>
      <t xml:space="preserve">／対応完了日</t>
    </r>
    <r>
      <rPr>
        <sz val="10"/>
        <rFont val="Arial"/>
        <family val="0"/>
        <charset val="1"/>
      </rPr>
      <t xml:space="preserve">33.3%</t>
    </r>
    <r>
      <rPr>
        <sz val="10"/>
        <rFont val="WenQuanYi Zen Hei"/>
        <family val="2"/>
      </rPr>
      <t xml:space="preserve">／有効性</t>
    </r>
    <r>
      <rPr>
        <sz val="10"/>
        <rFont val="Arial"/>
        <family val="0"/>
        <charset val="1"/>
      </rPr>
      <t xml:space="preserve">0.0%</t>
    </r>
    <r>
      <rPr>
        <sz val="10"/>
        <rFont val="WenQuanYi Zen Hei"/>
        <family val="2"/>
      </rPr>
      <t xml:space="preserve">（</t>
    </r>
    <r>
      <rPr>
        <sz val="10"/>
        <rFont val="Arial"/>
        <family val="0"/>
        <charset val="1"/>
      </rPr>
      <t xml:space="preserve">GRG</t>
    </r>
    <r>
      <rPr>
        <sz val="10"/>
        <rFont val="WenQuanYi Zen Hei"/>
        <family val="2"/>
      </rPr>
      <t xml:space="preserve">監査資料より）</t>
    </r>
  </si>
  <si>
    <r>
      <rPr>
        <b val="true"/>
        <sz val="10"/>
        <rFont val="WenQuanYi Zen Hei"/>
        <family val="2"/>
      </rPr>
      <t xml:space="preserve">④ ステータス内訳（レベル</t>
    </r>
    <r>
      <rPr>
        <b val="true"/>
        <sz val="10"/>
        <rFont val="Arial"/>
        <family val="0"/>
        <charset val="1"/>
      </rPr>
      <t xml:space="preserve">3</t>
    </r>
    <r>
      <rPr>
        <b val="true"/>
        <sz val="10"/>
        <rFont val="WenQuanYi Zen Hei"/>
        <family val="2"/>
      </rPr>
      <t xml:space="preserve">）</t>
    </r>
  </si>
  <si>
    <t xml:space="preserve">件数</t>
  </si>
  <si>
    <t xml:space="preserve">対策未記載</t>
  </si>
  <si>
    <t xml:space="preserve">承認日なし</t>
  </si>
  <si>
    <t xml:space="preserve">期限超過</t>
  </si>
  <si>
    <t xml:space="preserve">対応中（期限未設定）</t>
  </si>
  <si>
    <t xml:space="preserve">完了（有効性未評価）</t>
  </si>
  <si>
    <t xml:space="preserve">再発パターン</t>
  </si>
  <si>
    <r>
      <rPr>
        <b val="true"/>
        <sz val="10"/>
        <color rgb="FFFFFFFF"/>
        <rFont val="WenQuanYi Zen Hei"/>
        <family val="2"/>
      </rPr>
      <t xml:space="preserve">該当インシデント（ユニーク</t>
    </r>
    <r>
      <rPr>
        <b val="true"/>
        <sz val="10"/>
        <color rgb="FFFFFFFF"/>
        <rFont val="Arial"/>
        <family val="0"/>
        <charset val="1"/>
      </rPr>
      <t xml:space="preserve">ID</t>
    </r>
    <r>
      <rPr>
        <b val="true"/>
        <sz val="10"/>
        <color rgb="FFFFFFFF"/>
        <rFont val="WenQuanYi Zen Hei"/>
        <family val="2"/>
      </rPr>
      <t xml:space="preserve">／発見日／レベル）</t>
    </r>
  </si>
  <si>
    <t xml:space="preserve">掲げられた恒久対応策の変遷</t>
  </si>
  <si>
    <t xml:space="preserve">監査での論点</t>
  </si>
  <si>
    <r>
      <rPr>
        <sz val="10"/>
        <rFont val="Arial"/>
        <family val="0"/>
        <charset val="1"/>
      </rPr>
      <t xml:space="preserve">#9 2021/11 Lv2</t>
    </r>
    <r>
      <rPr>
        <sz val="10"/>
        <rFont val="WenQuanYi Zen Hei"/>
        <family val="2"/>
      </rPr>
      <t xml:space="preserve">（</t>
    </r>
    <r>
      <rPr>
        <sz val="10"/>
        <rFont val="Arial"/>
        <family val="0"/>
        <charset val="1"/>
      </rPr>
      <t xml:space="preserve">Mall</t>
    </r>
    <r>
      <rPr>
        <sz val="10"/>
        <rFont val="WenQuanYi Zen Hei"/>
        <family val="2"/>
      </rPr>
      <t xml:space="preserve">）／</t>
    </r>
    <r>
      <rPr>
        <sz val="10"/>
        <rFont val="Arial"/>
        <family val="0"/>
        <charset val="1"/>
      </rPr>
      <t xml:space="preserve">#39 2023/6 Lv3</t>
    </r>
    <r>
      <rPr>
        <sz val="10"/>
        <rFont val="WenQuanYi Zen Hei"/>
        <family val="2"/>
      </rPr>
      <t xml:space="preserve">／</t>
    </r>
    <r>
      <rPr>
        <sz val="10"/>
        <rFont val="Arial"/>
        <family val="0"/>
        <charset val="1"/>
      </rPr>
      <t xml:space="preserve">#40 2023/6 Lv3</t>
    </r>
    <r>
      <rPr>
        <sz val="10"/>
        <rFont val="WenQuanYi Zen Hei"/>
        <family val="2"/>
      </rPr>
      <t xml:space="preserve">／</t>
    </r>
    <r>
      <rPr>
        <sz val="10"/>
        <rFont val="Arial"/>
        <family val="0"/>
        <charset val="1"/>
      </rPr>
      <t xml:space="preserve">#76 2026/2 Lv3</t>
    </r>
    <r>
      <rPr>
        <sz val="10"/>
        <rFont val="WenQuanYi Zen Hei"/>
        <family val="2"/>
      </rPr>
      <t xml:space="preserve">（</t>
    </r>
    <r>
      <rPr>
        <sz val="10"/>
        <rFont val="Arial"/>
        <family val="0"/>
        <charset val="1"/>
      </rPr>
      <t xml:space="preserve">Mall 60</t>
    </r>
    <r>
      <rPr>
        <sz val="10"/>
        <rFont val="WenQuanYi Zen Hei"/>
        <family val="2"/>
      </rPr>
      <t xml:space="preserve">件）／</t>
    </r>
    <r>
      <rPr>
        <sz val="10"/>
        <rFont val="Arial"/>
        <family val="0"/>
        <charset val="1"/>
      </rPr>
      <t xml:space="preserve">#77 2026/3 Lv2</t>
    </r>
    <r>
      <rPr>
        <sz val="10"/>
        <rFont val="WenQuanYi Zen Hei"/>
        <family val="2"/>
      </rPr>
      <t xml:space="preserve">（東京ソワール </t>
    </r>
    <r>
      <rPr>
        <sz val="10"/>
        <rFont val="Arial"/>
        <family val="0"/>
        <charset val="1"/>
      </rPr>
      <t xml:space="preserve">24</t>
    </r>
    <r>
      <rPr>
        <sz val="10"/>
        <rFont val="WenQuanYi Zen Hei"/>
        <family val="2"/>
      </rPr>
      <t xml:space="preserve">件）</t>
    </r>
  </si>
  <si>
    <r>
      <rPr>
        <sz val="10"/>
        <rFont val="Arial"/>
        <family val="0"/>
        <charset val="1"/>
      </rPr>
      <t xml:space="preserve">2021</t>
    </r>
    <r>
      <rPr>
        <sz val="10"/>
        <rFont val="WenQuanYi Zen Hei"/>
        <family val="2"/>
      </rPr>
      <t xml:space="preserve">：現場作業員が締め→</t>
    </r>
    <r>
      <rPr>
        <sz val="10"/>
        <rFont val="Arial"/>
        <family val="0"/>
        <charset val="1"/>
      </rPr>
      <t xml:space="preserve">18</t>
    </r>
    <r>
      <rPr>
        <sz val="10"/>
        <rFont val="WenQuanYi Zen Hei"/>
        <family val="2"/>
      </rPr>
      <t xml:space="preserve">時半に管理者確認 ／ </t>
    </r>
    <r>
      <rPr>
        <sz val="10"/>
        <rFont val="Arial"/>
        <family val="0"/>
        <charset val="1"/>
      </rPr>
      <t xml:space="preserve">2023</t>
    </r>
    <r>
      <rPr>
        <sz val="10"/>
        <rFont val="WenQuanYi Zen Hei"/>
        <family val="2"/>
      </rPr>
      <t xml:space="preserve">：</t>
    </r>
    <r>
      <rPr>
        <sz val="10"/>
        <rFont val="Arial"/>
        <family val="0"/>
        <charset val="1"/>
      </rPr>
      <t xml:space="preserve">OAK</t>
    </r>
    <r>
      <rPr>
        <sz val="10"/>
        <rFont val="WenQuanYi Zen Hei"/>
        <family val="2"/>
      </rPr>
      <t xml:space="preserve">側で担当者を限定・交代制 ／ </t>
    </r>
    <r>
      <rPr>
        <sz val="10"/>
        <rFont val="Arial"/>
        <family val="0"/>
        <charset val="1"/>
      </rPr>
      <t xml:space="preserve">2026/2</t>
    </r>
    <r>
      <rPr>
        <sz val="10"/>
        <rFont val="WenQuanYi Zen Hei"/>
        <family val="2"/>
      </rPr>
      <t xml:space="preserve">：</t>
    </r>
    <r>
      <rPr>
        <sz val="10"/>
        <rFont val="Arial"/>
        <family val="0"/>
        <charset val="1"/>
      </rPr>
      <t xml:space="preserve">17</t>
    </r>
    <r>
      <rPr>
        <sz val="10"/>
        <rFont val="WenQuanYi Zen Hei"/>
        <family val="2"/>
      </rPr>
      <t xml:space="preserve">時アラーム＋</t>
    </r>
    <r>
      <rPr>
        <sz val="10"/>
        <rFont val="Arial"/>
        <family val="0"/>
        <charset val="1"/>
      </rPr>
      <t xml:space="preserve">Slack</t>
    </r>
    <r>
      <rPr>
        <sz val="10"/>
        <rFont val="WenQuanYi Zen Hei"/>
        <family val="2"/>
      </rPr>
      <t xml:space="preserve">完了報告 ／ </t>
    </r>
    <r>
      <rPr>
        <sz val="10"/>
        <rFont val="Arial"/>
        <family val="0"/>
        <charset val="1"/>
      </rPr>
      <t xml:space="preserve">2026/3</t>
    </r>
    <r>
      <rPr>
        <sz val="10"/>
        <rFont val="WenQuanYi Zen Hei"/>
        <family val="2"/>
      </rPr>
      <t xml:space="preserve">：日次</t>
    </r>
    <r>
      <rPr>
        <sz val="10"/>
        <rFont val="Arial"/>
        <family val="0"/>
        <charset val="1"/>
      </rPr>
      <t xml:space="preserve">Slack</t>
    </r>
    <r>
      <rPr>
        <sz val="10"/>
        <rFont val="WenQuanYi Zen Hei"/>
        <family val="2"/>
      </rPr>
      <t xml:space="preserve">通知の導入</t>
    </r>
  </si>
  <si>
    <r>
      <rPr>
        <sz val="10"/>
        <rFont val="Arial"/>
        <family val="0"/>
        <charset val="1"/>
      </rPr>
      <t xml:space="preserve">5</t>
    </r>
    <r>
      <rPr>
        <sz val="10"/>
        <rFont val="WenQuanYi Zen Hei"/>
        <family val="2"/>
      </rPr>
      <t xml:space="preserve">年間で</t>
    </r>
    <r>
      <rPr>
        <sz val="10"/>
        <rFont val="Arial"/>
        <family val="0"/>
        <charset val="1"/>
      </rPr>
      <t xml:space="preserve">5</t>
    </r>
    <r>
      <rPr>
        <sz val="10"/>
        <rFont val="WenQuanYi Zen Hei"/>
        <family val="2"/>
      </rPr>
      <t xml:space="preserve">回、同じ「人が締めを忘れる」事象。毎回「確認を強化する」運用策で、締め未実施をシステム側で検知する仕組み（通知の自動化）が今回ようやく登場。通知が本当に動いているか現物で確認。</t>
    </r>
  </si>
  <si>
    <r>
      <rPr>
        <sz val="10"/>
        <rFont val="Arial"/>
        <family val="0"/>
        <charset val="1"/>
      </rPr>
      <t xml:space="preserve">#44 2023/10 Lv3</t>
    </r>
    <r>
      <rPr>
        <sz val="10"/>
        <rFont val="WenQuanYi Zen Hei"/>
        <family val="2"/>
      </rPr>
      <t xml:space="preserve">（不入流解約合意書）／</t>
    </r>
    <r>
      <rPr>
        <sz val="10"/>
        <rFont val="Arial"/>
        <family val="0"/>
        <charset val="1"/>
      </rPr>
      <t xml:space="preserve">#54 2024/3 Lv3</t>
    </r>
    <r>
      <rPr>
        <sz val="10"/>
        <rFont val="WenQuanYi Zen Hei"/>
        <family val="2"/>
      </rPr>
      <t xml:space="preserve">（</t>
    </r>
    <r>
      <rPr>
        <sz val="10"/>
        <rFont val="Arial"/>
        <family val="0"/>
        <charset val="1"/>
      </rPr>
      <t xml:space="preserve">GLP</t>
    </r>
    <r>
      <rPr>
        <sz val="10"/>
        <rFont val="WenQuanYi Zen Hei"/>
        <family val="2"/>
      </rPr>
      <t xml:space="preserve">倉庫 反社チェック・</t>
    </r>
    <r>
      <rPr>
        <sz val="10"/>
        <rFont val="Arial"/>
        <family val="0"/>
        <charset val="1"/>
      </rPr>
      <t xml:space="preserve">NDA</t>
    </r>
    <r>
      <rPr>
        <sz val="10"/>
        <rFont val="WenQuanYi Zen Hei"/>
        <family val="2"/>
      </rPr>
      <t xml:space="preserve">未了）／</t>
    </r>
    <r>
      <rPr>
        <sz val="10"/>
        <rFont val="Arial"/>
        <family val="0"/>
        <charset val="1"/>
      </rPr>
      <t xml:space="preserve">#64 2025/2 Lv3</t>
    </r>
    <r>
      <rPr>
        <sz val="10"/>
        <rFont val="WenQuanYi Zen Hei"/>
        <family val="2"/>
      </rPr>
      <t xml:space="preserve">（流山ボイラー保守契約）</t>
    </r>
  </si>
  <si>
    <r>
      <rPr>
        <sz val="10"/>
        <rFont val="Arial"/>
        <family val="0"/>
        <charset val="1"/>
      </rPr>
      <t xml:space="preserve">2023</t>
    </r>
    <r>
      <rPr>
        <sz val="10"/>
        <rFont val="WenQuanYi Zen Hei"/>
        <family val="2"/>
      </rPr>
      <t xml:space="preserve">：メールでエビデンス＋カレンダー登録 ／ </t>
    </r>
    <r>
      <rPr>
        <sz val="10"/>
        <rFont val="Arial"/>
        <family val="0"/>
        <charset val="1"/>
      </rPr>
      <t xml:space="preserve">2024</t>
    </r>
    <r>
      <rPr>
        <sz val="10"/>
        <rFont val="WenQuanYi Zen Hei"/>
        <family val="2"/>
      </rPr>
      <t xml:space="preserve">：新規コンタクト時点で反社申請・</t>
    </r>
    <r>
      <rPr>
        <sz val="10"/>
        <rFont val="Arial"/>
        <family val="0"/>
        <charset val="1"/>
      </rPr>
      <t xml:space="preserve">WBS</t>
    </r>
    <r>
      <rPr>
        <sz val="10"/>
        <rFont val="WenQuanYi Zen Hei"/>
        <family val="2"/>
      </rPr>
      <t xml:space="preserve">にチェック項目 ／ </t>
    </r>
    <r>
      <rPr>
        <sz val="10"/>
        <rFont val="Arial"/>
        <family val="0"/>
        <charset val="1"/>
      </rPr>
      <t xml:space="preserve">2025</t>
    </r>
    <r>
      <rPr>
        <sz val="10"/>
        <rFont val="WenQuanYi Zen Hei"/>
        <family val="2"/>
      </rPr>
      <t xml:space="preserve">：契約一元管理ファイル＋契約担当者</t>
    </r>
  </si>
  <si>
    <r>
      <rPr>
        <sz val="10"/>
        <rFont val="WenQuanYi Zen Hei"/>
        <family val="2"/>
      </rPr>
      <t xml:space="preserve">倉庫移転（流山→春日部）など契約が集中する局面で繰り返し発生。「契約一元管理ファイル」の現物と、春日部移転時の契約一覧で運用を確認。固定設問</t>
    </r>
    <r>
      <rPr>
        <sz val="10"/>
        <rFont val="Arial"/>
        <family val="0"/>
        <charset val="1"/>
      </rPr>
      <t xml:space="preserve">No.10</t>
    </r>
    <r>
      <rPr>
        <sz val="10"/>
        <rFont val="WenQuanYi Zen Hei"/>
        <family val="2"/>
      </rPr>
      <t xml:space="preserve">・</t>
    </r>
    <r>
      <rPr>
        <sz val="10"/>
        <rFont val="Arial"/>
        <family val="0"/>
        <charset val="1"/>
      </rPr>
      <t xml:space="preserve">11</t>
    </r>
    <r>
      <rPr>
        <sz val="10"/>
        <rFont val="WenQuanYi Zen Hei"/>
        <family val="2"/>
      </rPr>
      <t xml:space="preserve">と直結。</t>
    </r>
  </si>
  <si>
    <t xml:space="preserve">同梱物の運用（在庫・指示・期日）</t>
  </si>
  <si>
    <r>
      <rPr>
        <sz val="10"/>
        <rFont val="Arial"/>
        <family val="0"/>
        <charset val="1"/>
      </rPr>
      <t xml:space="preserve">#34 2023/3 Lv3</t>
    </r>
    <r>
      <rPr>
        <sz val="10"/>
        <rFont val="WenQuanYi Zen Hei"/>
        <family val="2"/>
      </rPr>
      <t xml:space="preserve">／</t>
    </r>
    <r>
      <rPr>
        <sz val="10"/>
        <rFont val="Arial"/>
        <family val="0"/>
        <charset val="1"/>
      </rPr>
      <t xml:space="preserve">#47 2023/11 Lv3</t>
    </r>
    <r>
      <rPr>
        <sz val="10"/>
        <rFont val="WenQuanYi Zen Hei"/>
        <family val="2"/>
      </rPr>
      <t xml:space="preserve">（資材ショート）／</t>
    </r>
    <r>
      <rPr>
        <sz val="10"/>
        <rFont val="Arial"/>
        <family val="0"/>
        <charset val="1"/>
      </rPr>
      <t xml:space="preserve">#53 2024/2 Lv3</t>
    </r>
    <r>
      <rPr>
        <sz val="10"/>
        <rFont val="WenQuanYi Zen Hei"/>
        <family val="2"/>
      </rPr>
      <t xml:space="preserve">（</t>
    </r>
    <r>
      <rPr>
        <sz val="10"/>
        <rFont val="Arial"/>
        <family val="0"/>
        <charset val="1"/>
      </rPr>
      <t xml:space="preserve">285</t>
    </r>
    <r>
      <rPr>
        <sz val="10"/>
        <rFont val="WenQuanYi Zen Hei"/>
        <family val="2"/>
      </rPr>
      <t xml:space="preserve">名）／</t>
    </r>
    <r>
      <rPr>
        <sz val="10"/>
        <rFont val="Arial"/>
        <family val="0"/>
        <charset val="1"/>
      </rPr>
      <t xml:space="preserve">#60 2024/9 Lv1</t>
    </r>
    <r>
      <rPr>
        <sz val="10"/>
        <rFont val="WenQuanYi Zen Hei"/>
        <family val="2"/>
      </rPr>
      <t xml:space="preserve">／</t>
    </r>
    <r>
      <rPr>
        <sz val="10"/>
        <rFont val="Arial"/>
        <family val="0"/>
        <charset val="1"/>
      </rPr>
      <t xml:space="preserve">#61 2024/12 Lv3</t>
    </r>
    <r>
      <rPr>
        <sz val="10"/>
        <rFont val="WenQuanYi Zen Hei"/>
        <family val="2"/>
      </rPr>
      <t xml:space="preserve">（</t>
    </r>
    <r>
      <rPr>
        <sz val="10"/>
        <rFont val="Arial"/>
        <family val="0"/>
        <charset val="1"/>
      </rPr>
      <t xml:space="preserve">300</t>
    </r>
    <r>
      <rPr>
        <sz val="10"/>
        <rFont val="WenQuanYi Zen Hei"/>
        <family val="2"/>
      </rPr>
      <t xml:space="preserve">名）／</t>
    </r>
    <r>
      <rPr>
        <sz val="10"/>
        <rFont val="Arial"/>
        <family val="0"/>
        <charset val="1"/>
      </rPr>
      <t xml:space="preserve">#62 2025/1 Lv3</t>
    </r>
    <r>
      <rPr>
        <sz val="10"/>
        <rFont val="WenQuanYi Zen Hei"/>
        <family val="2"/>
      </rPr>
      <t xml:space="preserve">（</t>
    </r>
    <r>
      <rPr>
        <sz val="10"/>
        <rFont val="Arial"/>
        <family val="0"/>
        <charset val="1"/>
      </rPr>
      <t xml:space="preserve">#61</t>
    </r>
    <r>
      <rPr>
        <sz val="10"/>
        <rFont val="WenQuanYi Zen Hei"/>
        <family val="2"/>
      </rPr>
      <t xml:space="preserve">の恒久対応未実行）／</t>
    </r>
    <r>
      <rPr>
        <sz val="10"/>
        <rFont val="Arial"/>
        <family val="0"/>
        <charset val="1"/>
      </rPr>
      <t xml:space="preserve">#68 2025/7 Lv3</t>
    </r>
    <r>
      <rPr>
        <sz val="10"/>
        <rFont val="WenQuanYi Zen Hei"/>
        <family val="2"/>
      </rPr>
      <t xml:space="preserve">（</t>
    </r>
    <r>
      <rPr>
        <sz val="10"/>
        <rFont val="Arial"/>
        <family val="0"/>
        <charset val="1"/>
      </rPr>
      <t xml:space="preserve">2,853</t>
    </r>
    <r>
      <rPr>
        <sz val="10"/>
        <rFont val="WenQuanYi Zen Hei"/>
        <family val="2"/>
      </rPr>
      <t xml:space="preserve">名）</t>
    </r>
  </si>
  <si>
    <r>
      <rPr>
        <sz val="10"/>
        <rFont val="Arial"/>
        <family val="0"/>
        <charset val="1"/>
      </rPr>
      <t xml:space="preserve">2023</t>
    </r>
    <r>
      <rPr>
        <sz val="10"/>
        <rFont val="WenQuanYi Zen Hei"/>
        <family val="2"/>
      </rPr>
      <t xml:space="preserve">：月次棚卸しに現場分も含める ／ </t>
    </r>
    <r>
      <rPr>
        <sz val="10"/>
        <rFont val="Arial"/>
        <family val="0"/>
        <charset val="1"/>
      </rPr>
      <t xml:space="preserve">2024/2</t>
    </r>
    <r>
      <rPr>
        <sz val="10"/>
        <rFont val="WenQuanYi Zen Hei"/>
        <family val="2"/>
      </rPr>
      <t xml:space="preserve">：同梱依頼シート＋確認者</t>
    </r>
    <r>
      <rPr>
        <sz val="10"/>
        <rFont val="Arial"/>
        <family val="0"/>
        <charset val="1"/>
      </rPr>
      <t xml:space="preserve">2</t>
    </r>
    <r>
      <rPr>
        <sz val="10"/>
        <rFont val="WenQuanYi Zen Hei"/>
        <family val="2"/>
      </rPr>
      <t xml:space="preserve">名 ／ </t>
    </r>
    <r>
      <rPr>
        <sz val="10"/>
        <rFont val="Arial"/>
        <family val="0"/>
        <charset val="1"/>
      </rPr>
      <t xml:space="preserve">2024/12</t>
    </r>
    <r>
      <rPr>
        <sz val="10"/>
        <rFont val="WenQuanYi Zen Hei"/>
        <family val="2"/>
      </rPr>
      <t xml:space="preserve">：同梱品の月次棚卸しルール化＋同梱データのシステム改善 ／ </t>
    </r>
    <r>
      <rPr>
        <sz val="10"/>
        <rFont val="Arial"/>
        <family val="0"/>
        <charset val="1"/>
      </rPr>
      <t xml:space="preserve">2025/7</t>
    </r>
    <r>
      <rPr>
        <sz val="10"/>
        <rFont val="WenQuanYi Zen Hei"/>
        <family val="2"/>
      </rPr>
      <t xml:space="preserve">：期日アラート自動化・属人化排除</t>
    </r>
  </si>
  <si>
    <r>
      <rPr>
        <sz val="10"/>
        <rFont val="Arial"/>
        <family val="0"/>
        <charset val="1"/>
      </rPr>
      <t xml:space="preserve">#62</t>
    </r>
    <r>
      <rPr>
        <sz val="10"/>
        <rFont val="WenQuanYi Zen Hei"/>
        <family val="2"/>
      </rPr>
      <t xml:space="preserve">は「恒久対応が実行されていなかった」こと自体がインシデント。本監査テーマの中核事例。棚卸し・アラートが実装され継続しているかを証憑で確認。</t>
    </r>
  </si>
  <si>
    <t xml:space="preserve">配送テレコ・伝票トラブル</t>
  </si>
  <si>
    <r>
      <rPr>
        <sz val="10"/>
        <rFont val="Arial"/>
        <family val="0"/>
        <charset val="1"/>
      </rPr>
      <t xml:space="preserve">#11 2021/12 Lv3</t>
    </r>
    <r>
      <rPr>
        <sz val="10"/>
        <rFont val="WenQuanYi Zen Hei"/>
        <family val="2"/>
      </rPr>
      <t xml:space="preserve">／</t>
    </r>
    <r>
      <rPr>
        <sz val="10"/>
        <rFont val="Arial"/>
        <family val="0"/>
        <charset val="1"/>
      </rPr>
      <t xml:space="preserve">#57 2024/6 Lv1</t>
    </r>
    <r>
      <rPr>
        <sz val="10"/>
        <rFont val="WenQuanYi Zen Hei"/>
        <family val="2"/>
      </rPr>
      <t xml:space="preserve">／</t>
    </r>
    <r>
      <rPr>
        <sz val="10"/>
        <rFont val="Arial"/>
        <family val="0"/>
        <charset val="1"/>
      </rPr>
      <t xml:space="preserve">#63 2025/2 Lv3</t>
    </r>
    <r>
      <rPr>
        <sz val="10"/>
        <rFont val="WenQuanYi Zen Hei"/>
        <family val="2"/>
      </rPr>
      <t xml:space="preserve">／</t>
    </r>
    <r>
      <rPr>
        <sz val="10"/>
        <rFont val="Arial"/>
        <family val="0"/>
        <charset val="1"/>
      </rPr>
      <t xml:space="preserve">#81 2026/5 Lv1</t>
    </r>
    <r>
      <rPr>
        <sz val="10"/>
        <rFont val="WenQuanYi Zen Hei"/>
        <family val="2"/>
      </rPr>
      <t xml:space="preserve">／</t>
    </r>
    <r>
      <rPr>
        <sz val="10"/>
        <rFont val="Arial"/>
        <family val="0"/>
        <charset val="1"/>
      </rPr>
      <t xml:space="preserve">#83 2026/6 Lv1</t>
    </r>
    <r>
      <rPr>
        <sz val="10"/>
        <rFont val="WenQuanYi Zen Hei"/>
        <family val="2"/>
      </rPr>
      <t xml:space="preserve">／</t>
    </r>
    <r>
      <rPr>
        <sz val="10"/>
        <rFont val="Arial"/>
        <family val="0"/>
        <charset val="1"/>
      </rPr>
      <t xml:space="preserve">#75 2025/12 Lv3</t>
    </r>
    <r>
      <rPr>
        <sz val="10"/>
        <rFont val="WenQuanYi Zen Hei"/>
        <family val="2"/>
      </rPr>
      <t xml:space="preserve">（伝票同梱→個人情報流出）</t>
    </r>
  </si>
  <si>
    <r>
      <rPr>
        <sz val="10"/>
        <rFont val="WenQuanYi Zen Hei"/>
        <family val="2"/>
      </rPr>
      <t xml:space="preserve">多くが「現場への厳重注意」「注意喚起」。</t>
    </r>
    <r>
      <rPr>
        <sz val="10"/>
        <rFont val="Arial"/>
        <family val="0"/>
        <charset val="1"/>
      </rPr>
      <t xml:space="preserve">#75</t>
    </r>
    <r>
      <rPr>
        <sz val="10"/>
        <rFont val="WenQuanYi Zen Hei"/>
        <family val="2"/>
      </rPr>
      <t xml:space="preserve">のみ構造的対策（送り状即時廃棄＋枚数一致確認）</t>
    </r>
  </si>
  <si>
    <r>
      <rPr>
        <sz val="10"/>
        <rFont val="WenQuanYi Zen Hei"/>
        <family val="2"/>
      </rPr>
      <t xml:space="preserve">委託先（</t>
    </r>
    <r>
      <rPr>
        <sz val="10"/>
        <rFont val="Arial"/>
        <family val="0"/>
        <charset val="1"/>
      </rPr>
      <t xml:space="preserve">OAK</t>
    </r>
    <r>
      <rPr>
        <sz val="10"/>
        <rFont val="WenQuanYi Zen Hei"/>
        <family val="2"/>
      </rPr>
      <t xml:space="preserve">物流・</t>
    </r>
    <r>
      <rPr>
        <sz val="10"/>
        <rFont val="Arial"/>
        <family val="0"/>
        <charset val="1"/>
      </rPr>
      <t xml:space="preserve">TOPOS</t>
    </r>
    <r>
      <rPr>
        <sz val="10"/>
        <rFont val="WenQuanYi Zen Hei"/>
        <family val="2"/>
      </rPr>
      <t xml:space="preserve">）の作業ミスが「厳重注意」で終わっていないか。業務基本契約書第</t>
    </r>
    <r>
      <rPr>
        <sz val="10"/>
        <rFont val="Arial"/>
        <family val="0"/>
        <charset val="1"/>
      </rPr>
      <t xml:space="preserve">21</t>
    </r>
    <r>
      <rPr>
        <sz val="10"/>
        <rFont val="WenQuanYi Zen Hei"/>
        <family val="2"/>
      </rPr>
      <t xml:space="preserve">条（事故処理）に基づく委託先側の手順改訂・報告を求めているか。</t>
    </r>
  </si>
  <si>
    <t xml:space="preserve">委託先・配送業者起因で恒久対応が空欄</t>
  </si>
  <si>
    <r>
      <rPr>
        <sz val="10"/>
        <rFont val="Arial"/>
        <family val="0"/>
        <charset val="1"/>
      </rPr>
      <t xml:space="preserve">#69 2025/9 Lv3</t>
    </r>
    <r>
      <rPr>
        <sz val="10"/>
        <rFont val="WenQuanYi Zen Hei"/>
        <family val="2"/>
      </rPr>
      <t xml:space="preserve">（</t>
    </r>
    <r>
      <rPr>
        <sz val="10"/>
        <rFont val="Arial"/>
        <family val="0"/>
        <charset val="1"/>
      </rPr>
      <t xml:space="preserve">1,154</t>
    </r>
    <r>
      <rPr>
        <sz val="10"/>
        <rFont val="WenQuanYi Zen Hei"/>
        <family val="2"/>
      </rPr>
      <t xml:space="preserve">名）／</t>
    </r>
    <r>
      <rPr>
        <sz val="10"/>
        <rFont val="Arial"/>
        <family val="0"/>
        <charset val="1"/>
      </rPr>
      <t xml:space="preserve">#70 2025/11 Lv3</t>
    </r>
    <r>
      <rPr>
        <sz val="10"/>
        <rFont val="WenQuanYi Zen Hei"/>
        <family val="2"/>
      </rPr>
      <t xml:space="preserve">（</t>
    </r>
    <r>
      <rPr>
        <sz val="10"/>
        <rFont val="Arial"/>
        <family val="0"/>
        <charset val="1"/>
      </rPr>
      <t xml:space="preserve">109</t>
    </r>
    <r>
      <rPr>
        <sz val="10"/>
        <rFont val="WenQuanYi Zen Hei"/>
        <family val="2"/>
      </rPr>
      <t xml:space="preserve">名）／</t>
    </r>
    <r>
      <rPr>
        <sz val="10"/>
        <rFont val="Arial"/>
        <family val="0"/>
        <charset val="1"/>
      </rPr>
      <t xml:space="preserve">#71 2025/11 Lv3</t>
    </r>
    <r>
      <rPr>
        <sz val="10"/>
        <rFont val="WenQuanYi Zen Hei"/>
        <family val="2"/>
      </rPr>
      <t xml:space="preserve">（</t>
    </r>
    <r>
      <rPr>
        <sz val="10"/>
        <rFont val="Arial"/>
        <family val="0"/>
        <charset val="1"/>
      </rPr>
      <t xml:space="preserve">258</t>
    </r>
    <r>
      <rPr>
        <sz val="10"/>
        <rFont val="WenQuanYi Zen Hei"/>
        <family val="2"/>
      </rPr>
      <t xml:space="preserve">名）／</t>
    </r>
    <r>
      <rPr>
        <sz val="10"/>
        <rFont val="Arial"/>
        <family val="0"/>
        <charset val="1"/>
      </rPr>
      <t xml:space="preserve">#74 2025/11 Lv3</t>
    </r>
    <r>
      <rPr>
        <sz val="10"/>
        <rFont val="WenQuanYi Zen Hei"/>
        <family val="2"/>
      </rPr>
      <t xml:space="preserve">（</t>
    </r>
    <r>
      <rPr>
        <sz val="10"/>
        <rFont val="Arial"/>
        <family val="0"/>
        <charset val="1"/>
      </rPr>
      <t xml:space="preserve">962</t>
    </r>
    <r>
      <rPr>
        <sz val="10"/>
        <rFont val="WenQuanYi Zen Hei"/>
        <family val="2"/>
      </rPr>
      <t xml:space="preserve">名）／</t>
    </r>
    <r>
      <rPr>
        <sz val="10"/>
        <rFont val="Arial"/>
        <family val="0"/>
        <charset val="1"/>
      </rPr>
      <t xml:space="preserve">#78 2026/4 Lv2</t>
    </r>
  </si>
  <si>
    <t xml:space="preserve">恒久対応策・承認日ともに空欄が大半</t>
  </si>
  <si>
    <t xml:space="preserve">外部起因でも「再発防止要請・補償・代替手段」の検討記録は必要。「対応不要」ならその判断と承認を残す運用になっているか。</t>
  </si>
  <si>
    <t xml:space="preserve">手作業データ処理のポカミス</t>
  </si>
  <si>
    <r>
      <rPr>
        <sz val="10"/>
        <rFont val="Arial"/>
        <family val="0"/>
        <charset val="1"/>
      </rPr>
      <t xml:space="preserve">#45 2023/10 Lv1</t>
    </r>
    <r>
      <rPr>
        <sz val="10"/>
        <rFont val="WenQuanYi Zen Hei"/>
        <family val="2"/>
      </rPr>
      <t xml:space="preserve">／</t>
    </r>
    <r>
      <rPr>
        <sz val="10"/>
        <rFont val="Arial"/>
        <family val="0"/>
        <charset val="1"/>
      </rPr>
      <t xml:space="preserve">#66 2025/5 Lv3</t>
    </r>
    <r>
      <rPr>
        <sz val="10"/>
        <rFont val="WenQuanYi Zen Hei"/>
        <family val="2"/>
      </rPr>
      <t xml:space="preserve">（</t>
    </r>
    <r>
      <rPr>
        <sz val="10"/>
        <rFont val="Arial"/>
        <family val="0"/>
        <charset val="1"/>
      </rPr>
      <t xml:space="preserve">71</t>
    </r>
    <r>
      <rPr>
        <sz val="10"/>
        <rFont val="WenQuanYi Zen Hei"/>
        <family val="2"/>
      </rPr>
      <t xml:space="preserve">名）／</t>
    </r>
    <r>
      <rPr>
        <sz val="10"/>
        <rFont val="Arial"/>
        <family val="0"/>
        <charset val="1"/>
      </rPr>
      <t xml:space="preserve">#67 2025/5 Lv1</t>
    </r>
    <r>
      <rPr>
        <sz val="10"/>
        <rFont val="WenQuanYi Zen Hei"/>
        <family val="2"/>
      </rPr>
      <t xml:space="preserve">／</t>
    </r>
    <r>
      <rPr>
        <sz val="10"/>
        <rFont val="Arial"/>
        <family val="0"/>
        <charset val="1"/>
      </rPr>
      <t xml:space="preserve">#72 2025/10 Lv1</t>
    </r>
    <r>
      <rPr>
        <sz val="10"/>
        <rFont val="WenQuanYi Zen Hei"/>
        <family val="2"/>
      </rPr>
      <t xml:space="preserve">／</t>
    </r>
    <r>
      <rPr>
        <sz val="10"/>
        <rFont val="Arial"/>
        <family val="0"/>
        <charset val="1"/>
      </rPr>
      <t xml:space="preserve">#73 2025/11 Lv3</t>
    </r>
    <r>
      <rPr>
        <sz val="10"/>
        <rFont val="WenQuanYi Zen Hei"/>
        <family val="2"/>
      </rPr>
      <t xml:space="preserve">（福袋テレコ）</t>
    </r>
  </si>
  <si>
    <t xml:space="preserve">システム改修を恒久対応に掲げるが承認日・完了日なし</t>
  </si>
  <si>
    <r>
      <rPr>
        <sz val="10"/>
        <rFont val="Arial"/>
        <family val="0"/>
        <charset val="1"/>
      </rPr>
      <t xml:space="preserve">PDG</t>
    </r>
    <r>
      <rPr>
        <sz val="10"/>
        <rFont val="WenQuanYi Zen Hei"/>
        <family val="2"/>
      </rPr>
      <t xml:space="preserve">への改修依頼（</t>
    </r>
    <r>
      <rPr>
        <sz val="10"/>
        <rFont val="Arial"/>
        <family val="0"/>
        <charset val="1"/>
      </rPr>
      <t xml:space="preserve">Backlog</t>
    </r>
    <r>
      <rPr>
        <sz val="10"/>
        <rFont val="WenQuanYi Zen Hei"/>
        <family val="2"/>
      </rPr>
      <t xml:space="preserve">チケット）が起票され進んでいるか。改修完了までの暫定運用（チェックリスト等）があるか。</t>
    </r>
  </si>
  <si>
    <r>
      <rPr>
        <sz val="10"/>
        <rFont val="Arial"/>
        <family val="0"/>
        <charset val="1"/>
      </rPr>
      <t xml:space="preserve">#79 2026/5 Lv3</t>
    </r>
    <r>
      <rPr>
        <sz val="10"/>
        <rFont val="WenQuanYi Zen Hei"/>
        <family val="2"/>
      </rPr>
      <t xml:space="preserve">（</t>
    </r>
    <r>
      <rPr>
        <sz val="10"/>
        <rFont val="Arial"/>
        <family val="0"/>
        <charset val="1"/>
      </rPr>
      <t xml:space="preserve">276</t>
    </r>
    <r>
      <rPr>
        <sz val="10"/>
        <rFont val="WenQuanYi Zen Hei"/>
        <family val="2"/>
      </rPr>
      <t xml:space="preserve">件：倉庫の</t>
    </r>
    <r>
      <rPr>
        <sz val="10"/>
        <rFont val="Arial"/>
        <family val="0"/>
        <charset val="1"/>
      </rPr>
      <t xml:space="preserve">Google</t>
    </r>
    <r>
      <rPr>
        <sz val="10"/>
        <rFont val="WenQuanYi Zen Hei"/>
        <family val="2"/>
      </rPr>
      <t xml:space="preserve">アカウント</t>
    </r>
    <r>
      <rPr>
        <sz val="10"/>
        <rFont val="Arial"/>
        <family val="0"/>
        <charset val="1"/>
      </rPr>
      <t xml:space="preserve">2</t>
    </r>
    <r>
      <rPr>
        <sz val="10"/>
        <rFont val="WenQuanYi Zen Hei"/>
        <family val="2"/>
      </rPr>
      <t xml:space="preserve">段階認証でログイン不可）</t>
    </r>
  </si>
  <si>
    <t xml:space="preserve">設定直し・事象発生時の共有依頼</t>
  </si>
  <si>
    <r>
      <rPr>
        <sz val="10"/>
        <rFont val="WenQuanYi Zen Hei"/>
        <family val="2"/>
      </rPr>
      <t xml:space="preserve">倉庫で使う共有アカウントの存在。固定設問</t>
    </r>
    <r>
      <rPr>
        <sz val="10"/>
        <rFont val="Arial"/>
        <family val="0"/>
        <charset val="1"/>
      </rPr>
      <t xml:space="preserve">No.16</t>
    </r>
    <r>
      <rPr>
        <sz val="10"/>
        <rFont val="WenQuanYi Zen Hei"/>
        <family val="2"/>
      </rPr>
      <t xml:space="preserve">（アカウント共同利用）の評価に直結。</t>
    </r>
  </si>
  <si>
    <t xml:space="preserve">事例</t>
  </si>
  <si>
    <t xml:space="preserve">インシデント</t>
  </si>
  <si>
    <t xml:space="preserve">テスト観点</t>
  </si>
  <si>
    <t xml:space="preserve">確認内容（事前準備した論点）</t>
  </si>
  <si>
    <t xml:space="preserve">確認した証憑（当日記入）</t>
  </si>
  <si>
    <r>
      <rPr>
        <b val="true"/>
        <sz val="10"/>
        <color rgb="FFFFFFFF"/>
        <rFont val="WenQuanYi Zen Hei"/>
        <family val="2"/>
      </rPr>
      <t xml:space="preserve">結果</t>
    </r>
    <r>
      <rPr>
        <b val="true"/>
        <sz val="10"/>
        <color rgb="FFFFFFFF"/>
        <rFont val="Arial"/>
        <family val="0"/>
        <charset val="1"/>
      </rPr>
      <t xml:space="preserve">(○△×</t>
    </r>
    <r>
      <rPr>
        <b val="true"/>
        <sz val="10"/>
        <color rgb="FFFFFFFF"/>
        <rFont val="WenQuanYi Zen Hei"/>
        <family val="2"/>
      </rPr>
      <t xml:space="preserve">－</t>
    </r>
    <r>
      <rPr>
        <b val="true"/>
        <sz val="10"/>
        <color rgb="FFFFFFFF"/>
        <rFont val="Arial"/>
        <family val="0"/>
        <charset val="1"/>
      </rPr>
      <t xml:space="preserve">)</t>
    </r>
  </si>
  <si>
    <t xml:space="preserve">発見事項（当日記入）</t>
  </si>
  <si>
    <t xml:space="preserve">①</t>
  </si>
  <si>
    <r>
      <rPr>
        <sz val="10"/>
        <rFont val="Arial"/>
        <family val="0"/>
        <charset val="1"/>
      </rPr>
      <t xml:space="preserve">#61 JTB</t>
    </r>
    <r>
      <rPr>
        <sz val="10"/>
        <rFont val="WenQuanYi Zen Hei"/>
        <family val="2"/>
      </rPr>
      <t xml:space="preserve">同梱カードの在庫切れ（</t>
    </r>
    <r>
      <rPr>
        <sz val="10"/>
        <rFont val="Arial"/>
        <family val="0"/>
        <charset val="1"/>
      </rPr>
      <t xml:space="preserve">2024/12/22 Lv3 300</t>
    </r>
    <r>
      <rPr>
        <sz val="10"/>
        <rFont val="WenQuanYi Zen Hei"/>
        <family val="2"/>
      </rPr>
      <t xml:space="preserve">名）
</t>
    </r>
    <r>
      <rPr>
        <sz val="10"/>
        <rFont val="Arial"/>
        <family val="0"/>
        <charset val="1"/>
      </rPr>
      <t xml:space="preserve">#62 #61</t>
    </r>
    <r>
      <rPr>
        <sz val="10"/>
        <rFont val="WenQuanYi Zen Hei"/>
        <family val="2"/>
      </rPr>
      <t xml:space="preserve">の恒久対応が実行できていなかった（</t>
    </r>
    <r>
      <rPr>
        <sz val="10"/>
        <rFont val="Arial"/>
        <family val="0"/>
        <charset val="1"/>
      </rPr>
      <t xml:space="preserve">2025/1/7 Lv3 90</t>
    </r>
    <r>
      <rPr>
        <sz val="10"/>
        <rFont val="WenQuanYi Zen Hei"/>
        <family val="2"/>
      </rPr>
      <t xml:space="preserve">名）</t>
    </r>
  </si>
  <si>
    <r>
      <rPr>
        <b val="true"/>
        <sz val="10"/>
        <rFont val="Arial"/>
        <family val="0"/>
        <charset val="1"/>
      </rPr>
      <t xml:space="preserve">G1 </t>
    </r>
    <r>
      <rPr>
        <b val="true"/>
        <sz val="10"/>
        <rFont val="WenQuanYi Zen Hei"/>
        <family val="2"/>
      </rPr>
      <t xml:space="preserve">承認</t>
    </r>
  </si>
  <si>
    <r>
      <rPr>
        <sz val="10"/>
        <rFont val="WenQuanYi Zen Hei"/>
        <family val="2"/>
      </rPr>
      <t xml:space="preserve">承認者</t>
    </r>
    <r>
      <rPr>
        <sz val="10"/>
        <rFont val="Arial"/>
        <family val="0"/>
        <charset val="1"/>
      </rPr>
      <t xml:space="preserve">mash</t>
    </r>
    <r>
      <rPr>
        <sz val="10"/>
        <rFont val="WenQuanYi Zen Hei"/>
        <family val="2"/>
      </rPr>
      <t xml:space="preserve">・承認日なし（</t>
    </r>
    <r>
      <rPr>
        <sz val="10"/>
        <rFont val="Arial"/>
        <family val="0"/>
        <charset val="1"/>
      </rPr>
      <t xml:space="preserve">2</t>
    </r>
    <r>
      <rPr>
        <sz val="10"/>
        <rFont val="WenQuanYi Zen Hei"/>
        <family val="2"/>
      </rPr>
      <t xml:space="preserve">件とも）。</t>
    </r>
    <r>
      <rPr>
        <sz val="10"/>
        <rFont val="Arial"/>
        <family val="0"/>
        <charset val="1"/>
      </rPr>
      <t xml:space="preserve">Lv3</t>
    </r>
    <r>
      <rPr>
        <sz val="10"/>
        <rFont val="WenQuanYi Zen Hei"/>
        <family val="2"/>
      </rPr>
      <t xml:space="preserve">の社長承認の形跡（役員会確認欄も空欄）を確認。</t>
    </r>
  </si>
  <si>
    <r>
      <rPr>
        <b val="true"/>
        <sz val="10"/>
        <rFont val="Arial"/>
        <family val="0"/>
        <charset val="1"/>
      </rPr>
      <t xml:space="preserve">G2 </t>
    </r>
    <r>
      <rPr>
        <b val="true"/>
        <sz val="10"/>
        <rFont val="WenQuanYi Zen Hei"/>
        <family val="2"/>
      </rPr>
      <t xml:space="preserve">実装・運用</t>
    </r>
  </si>
  <si>
    <r>
      <rPr>
        <sz val="10"/>
        <rFont val="WenQuanYi Zen Hei"/>
        <family val="2"/>
      </rPr>
      <t xml:space="preserve">同梱品の月次棚卸し記録（直近月）、</t>
    </r>
    <r>
      <rPr>
        <sz val="10"/>
        <rFont val="Arial"/>
        <family val="0"/>
        <charset val="1"/>
      </rPr>
      <t xml:space="preserve">OAK</t>
    </r>
    <r>
      <rPr>
        <sz val="10"/>
        <rFont val="WenQuanYi Zen Hei"/>
        <family val="2"/>
      </rPr>
      <t xml:space="preserve">物流との作業合意・費用、同梱数データの改善状況を現物で確認。</t>
    </r>
  </si>
  <si>
    <r>
      <rPr>
        <b val="true"/>
        <sz val="10"/>
        <rFont val="Arial"/>
        <family val="0"/>
        <charset val="1"/>
      </rPr>
      <t xml:space="preserve">G3 </t>
    </r>
    <r>
      <rPr>
        <b val="true"/>
        <sz val="10"/>
        <rFont val="WenQuanYi Zen Hei"/>
        <family val="2"/>
      </rPr>
      <t xml:space="preserve">有効性・再発</t>
    </r>
  </si>
  <si>
    <r>
      <rPr>
        <sz val="10"/>
        <rFont val="Arial"/>
        <family val="0"/>
        <charset val="1"/>
      </rPr>
      <t xml:space="preserve">2025/1</t>
    </r>
    <r>
      <rPr>
        <sz val="10"/>
        <rFont val="WenQuanYi Zen Hei"/>
        <family val="2"/>
      </rPr>
      <t xml:space="preserve">以降に同梱物の在庫切れ・旧版混入が再発していないか。対策が「人がカウントする」のみに留まっていないか。</t>
    </r>
  </si>
  <si>
    <r>
      <rPr>
        <b val="true"/>
        <sz val="10"/>
        <rFont val="Arial"/>
        <family val="0"/>
        <charset val="1"/>
      </rPr>
      <t xml:space="preserve">G4 </t>
    </r>
    <r>
      <rPr>
        <b val="true"/>
        <sz val="10"/>
        <rFont val="WenQuanYi Zen Hei"/>
        <family val="2"/>
      </rPr>
      <t xml:space="preserve">完了確認</t>
    </r>
  </si>
  <si>
    <t xml:space="preserve">完了予定日・対応完了日ともに未記入。クローズ判断の有無。</t>
  </si>
  <si>
    <t xml:space="preserve">総合評価</t>
  </si>
  <si>
    <r>
      <rPr>
        <sz val="10"/>
        <rFont val="WenQuanYi Zen Hei"/>
        <family val="2"/>
      </rPr>
      <t xml:space="preserve">○有効／△一部不備／</t>
    </r>
    <r>
      <rPr>
        <sz val="10"/>
        <rFont val="Arial"/>
        <family val="0"/>
        <charset val="1"/>
      </rPr>
      <t xml:space="preserve">×</t>
    </r>
    <r>
      <rPr>
        <sz val="10"/>
        <rFont val="WenQuanYi Zen Hei"/>
        <family val="2"/>
      </rPr>
      <t xml:space="preserve">不備／－対応中　→ 結論（事実→影響→根本原因）と改善の要否</t>
    </r>
  </si>
  <si>
    <t xml:space="preserve">②</t>
  </si>
  <si>
    <r>
      <rPr>
        <sz val="10"/>
        <rFont val="Arial"/>
        <family val="0"/>
        <charset val="1"/>
      </rPr>
      <t xml:space="preserve">#76 </t>
    </r>
    <r>
      <rPr>
        <sz val="10"/>
        <rFont val="WenQuanYi Zen Hei"/>
        <family val="2"/>
      </rPr>
      <t xml:space="preserve">出荷締め漏れ（</t>
    </r>
    <r>
      <rPr>
        <sz val="10"/>
        <rFont val="Arial"/>
        <family val="0"/>
        <charset val="1"/>
      </rPr>
      <t xml:space="preserve">Mall 2026/2/28 Lv3 60</t>
    </r>
    <r>
      <rPr>
        <sz val="10"/>
        <rFont val="WenQuanYi Zen Hei"/>
        <family val="2"/>
      </rPr>
      <t xml:space="preserve">件）
</t>
    </r>
    <r>
      <rPr>
        <sz val="10"/>
        <rFont val="Arial"/>
        <family val="0"/>
        <charset val="1"/>
      </rPr>
      <t xml:space="preserve">#77 </t>
    </r>
    <r>
      <rPr>
        <sz val="10"/>
        <rFont val="WenQuanYi Zen Hei"/>
        <family val="2"/>
      </rPr>
      <t xml:space="preserve">出荷締め漏れ（東京ソワール </t>
    </r>
    <r>
      <rPr>
        <sz val="10"/>
        <rFont val="Arial"/>
        <family val="0"/>
        <charset val="1"/>
      </rPr>
      <t xml:space="preserve">2026/3/16 Lv2 24</t>
    </r>
    <r>
      <rPr>
        <sz val="10"/>
        <rFont val="WenQuanYi Zen Hei"/>
        <family val="2"/>
      </rPr>
      <t xml:space="preserve">件）</t>
    </r>
  </si>
  <si>
    <r>
      <rPr>
        <sz val="10"/>
        <rFont val="WenQuanYi Zen Hei"/>
        <family val="2"/>
      </rPr>
      <t xml:space="preserve">承認者</t>
    </r>
    <r>
      <rPr>
        <sz val="10"/>
        <rFont val="Arial"/>
        <family val="0"/>
        <charset val="1"/>
      </rPr>
      <t xml:space="preserve">ash</t>
    </r>
    <r>
      <rPr>
        <sz val="10"/>
        <rFont val="WenQuanYi Zen Hei"/>
        <family val="2"/>
      </rPr>
      <t xml:space="preserve">／</t>
    </r>
    <r>
      <rPr>
        <sz val="10"/>
        <rFont val="Arial"/>
        <family val="0"/>
        <charset val="1"/>
      </rPr>
      <t xml:space="preserve">icchi</t>
    </r>
    <r>
      <rPr>
        <sz val="10"/>
        <rFont val="WenQuanYi Zen Hei"/>
        <family val="2"/>
      </rPr>
      <t xml:space="preserve">、承認日なし。</t>
    </r>
  </si>
  <si>
    <r>
      <rPr>
        <sz val="10"/>
        <rFont val="Arial"/>
        <family val="0"/>
        <charset val="1"/>
      </rPr>
      <t xml:space="preserve">17</t>
    </r>
    <r>
      <rPr>
        <sz val="10"/>
        <rFont val="WenQuanYi Zen Hei"/>
        <family val="2"/>
      </rPr>
      <t xml:space="preserve">時アラーム＋</t>
    </r>
    <r>
      <rPr>
        <sz val="10"/>
        <rFont val="Arial"/>
        <family val="0"/>
        <charset val="1"/>
      </rPr>
      <t xml:space="preserve">Slack</t>
    </r>
    <r>
      <rPr>
        <sz val="10"/>
        <rFont val="WenQuanYi Zen Hei"/>
        <family val="2"/>
      </rPr>
      <t xml:space="preserve">完了報告（</t>
    </r>
    <r>
      <rPr>
        <sz val="10"/>
        <rFont val="Arial"/>
        <family val="0"/>
        <charset val="1"/>
      </rPr>
      <t xml:space="preserve">#76</t>
    </r>
    <r>
      <rPr>
        <sz val="10"/>
        <rFont val="WenQuanYi Zen Hei"/>
        <family val="2"/>
      </rPr>
      <t xml:space="preserve">）と日次</t>
    </r>
    <r>
      <rPr>
        <sz val="10"/>
        <rFont val="Arial"/>
        <family val="0"/>
        <charset val="1"/>
      </rPr>
      <t xml:space="preserve">Slack</t>
    </r>
    <r>
      <rPr>
        <sz val="10"/>
        <rFont val="WenQuanYi Zen Hei"/>
        <family val="2"/>
      </rPr>
      <t xml:space="preserve">通知（</t>
    </r>
    <r>
      <rPr>
        <sz val="10"/>
        <rFont val="Arial"/>
        <family val="0"/>
        <charset val="1"/>
      </rPr>
      <t xml:space="preserve">#77</t>
    </r>
    <r>
      <rPr>
        <sz val="10"/>
        <rFont val="WenQuanYi Zen Hei"/>
        <family val="2"/>
      </rPr>
      <t xml:space="preserve">）の実物。直近</t>
    </r>
    <r>
      <rPr>
        <sz val="10"/>
        <rFont val="Arial"/>
        <family val="0"/>
        <charset val="1"/>
      </rPr>
      <t xml:space="preserve">2</t>
    </r>
    <r>
      <rPr>
        <sz val="10"/>
        <rFont val="WenQuanYi Zen Hei"/>
        <family val="2"/>
      </rPr>
      <t xml:space="preserve">週間の完了報告実績と</t>
    </r>
    <r>
      <rPr>
        <sz val="10"/>
        <rFont val="Arial"/>
        <family val="0"/>
        <charset val="1"/>
      </rPr>
      <t xml:space="preserve">SCM</t>
    </r>
    <r>
      <rPr>
        <sz val="10"/>
        <rFont val="WenQuanYi Zen Hei"/>
        <family val="2"/>
      </rPr>
      <t xml:space="preserve">側の未報告時フォロー記録。</t>
    </r>
  </si>
  <si>
    <r>
      <rPr>
        <sz val="10"/>
        <rFont val="Arial"/>
        <family val="0"/>
        <charset val="1"/>
      </rPr>
      <t xml:space="preserve">2021</t>
    </r>
    <r>
      <rPr>
        <sz val="10"/>
        <rFont val="WenQuanYi Zen Hei"/>
        <family val="2"/>
      </rPr>
      <t xml:space="preserve">・</t>
    </r>
    <r>
      <rPr>
        <sz val="10"/>
        <rFont val="Arial"/>
        <family val="0"/>
        <charset val="1"/>
      </rPr>
      <t xml:space="preserve">2023</t>
    </r>
    <r>
      <rPr>
        <sz val="10"/>
        <rFont val="WenQuanYi Zen Hei"/>
        <family val="2"/>
      </rPr>
      <t xml:space="preserve">・</t>
    </r>
    <r>
      <rPr>
        <sz val="10"/>
        <rFont val="Arial"/>
        <family val="0"/>
        <charset val="1"/>
      </rPr>
      <t xml:space="preserve">2026</t>
    </r>
    <r>
      <rPr>
        <sz val="10"/>
        <rFont val="WenQuanYi Zen Hei"/>
        <family val="2"/>
      </rPr>
      <t xml:space="preserve">と</t>
    </r>
    <r>
      <rPr>
        <sz val="10"/>
        <rFont val="Arial"/>
        <family val="0"/>
        <charset val="1"/>
      </rPr>
      <t xml:space="preserve">5</t>
    </r>
    <r>
      <rPr>
        <sz val="10"/>
        <rFont val="WenQuanYi Zen Hei"/>
        <family val="2"/>
      </rPr>
      <t xml:space="preserve">回目の同型。通知導入後の再発有無。将来的に</t>
    </r>
    <r>
      <rPr>
        <sz val="10"/>
        <rFont val="Arial"/>
        <family val="0"/>
        <charset val="1"/>
      </rPr>
      <t xml:space="preserve">bridge/</t>
    </r>
    <r>
      <rPr>
        <sz val="10"/>
        <rFont val="WenQuanYi Zen Hei"/>
        <family val="2"/>
      </rPr>
      <t xml:space="preserve">システムで締め未実施を検知できないかの検討状況。</t>
    </r>
  </si>
  <si>
    <t xml:space="preserve">完了予定日・対応完了日ともに未記入。</t>
  </si>
  <si>
    <t xml:space="preserve">③</t>
  </si>
  <si>
    <r>
      <rPr>
        <sz val="10"/>
        <rFont val="Arial"/>
        <family val="0"/>
        <charset val="1"/>
      </rPr>
      <t xml:space="preserve">#54 </t>
    </r>
    <r>
      <rPr>
        <sz val="10"/>
        <rFont val="WenQuanYi Zen Hei"/>
        <family val="2"/>
      </rPr>
      <t xml:space="preserve">事後稟議（</t>
    </r>
    <r>
      <rPr>
        <sz val="10"/>
        <rFont val="Arial"/>
        <family val="0"/>
        <charset val="1"/>
      </rPr>
      <t xml:space="preserve">GLP</t>
    </r>
    <r>
      <rPr>
        <sz val="10"/>
        <rFont val="WenQuanYi Zen Hei"/>
        <family val="2"/>
      </rPr>
      <t xml:space="preserve">倉庫 反社チェック・</t>
    </r>
    <r>
      <rPr>
        <sz val="10"/>
        <rFont val="Arial"/>
        <family val="0"/>
        <charset val="1"/>
      </rPr>
      <t xml:space="preserve">NDA</t>
    </r>
    <r>
      <rPr>
        <sz val="10"/>
        <rFont val="WenQuanYi Zen Hei"/>
        <family val="2"/>
      </rPr>
      <t xml:space="preserve">未了 </t>
    </r>
    <r>
      <rPr>
        <sz val="10"/>
        <rFont val="Arial"/>
        <family val="0"/>
        <charset val="1"/>
      </rPr>
      <t xml:space="preserve">2024/2 Lv3</t>
    </r>
    <r>
      <rPr>
        <sz val="10"/>
        <rFont val="WenQuanYi Zen Hei"/>
        <family val="2"/>
      </rPr>
      <t xml:space="preserve">）
</t>
    </r>
    <r>
      <rPr>
        <sz val="10"/>
        <rFont val="Arial"/>
        <family val="0"/>
        <charset val="1"/>
      </rPr>
      <t xml:space="preserve">#64 </t>
    </r>
    <r>
      <rPr>
        <sz val="10"/>
        <rFont val="WenQuanYi Zen Hei"/>
        <family val="2"/>
      </rPr>
      <t xml:space="preserve">事後稟議（流山ボイラー保守契約 </t>
    </r>
    <r>
      <rPr>
        <sz val="10"/>
        <rFont val="Arial"/>
        <family val="0"/>
        <charset val="1"/>
      </rPr>
      <t xml:space="preserve">2025/2 Lv3</t>
    </r>
    <r>
      <rPr>
        <sz val="10"/>
        <rFont val="WenQuanYi Zen Hei"/>
        <family val="2"/>
      </rPr>
      <t xml:space="preserve">）</t>
    </r>
  </si>
  <si>
    <r>
      <rPr>
        <sz val="10"/>
        <rFont val="Arial"/>
        <family val="0"/>
        <charset val="1"/>
      </rPr>
      <t xml:space="preserve">#54</t>
    </r>
    <r>
      <rPr>
        <sz val="10"/>
        <rFont val="WenQuanYi Zen Hei"/>
        <family val="2"/>
      </rPr>
      <t xml:space="preserve">は承認日</t>
    </r>
    <r>
      <rPr>
        <sz val="10"/>
        <rFont val="Arial"/>
        <family val="0"/>
        <charset val="1"/>
      </rPr>
      <t xml:space="preserve">2024/3/6</t>
    </r>
    <r>
      <rPr>
        <sz val="10"/>
        <rFont val="WenQuanYi Zen Hei"/>
        <family val="2"/>
      </rPr>
      <t xml:space="preserve">あり。</t>
    </r>
    <r>
      <rPr>
        <sz val="10"/>
        <rFont val="Arial"/>
        <family val="0"/>
        <charset val="1"/>
      </rPr>
      <t xml:space="preserve">#64</t>
    </r>
    <r>
      <rPr>
        <sz val="10"/>
        <rFont val="WenQuanYi Zen Hei"/>
        <family val="2"/>
      </rPr>
      <t xml:space="preserve">は承認者</t>
    </r>
    <r>
      <rPr>
        <sz val="10"/>
        <rFont val="Arial"/>
        <family val="0"/>
        <charset val="1"/>
      </rPr>
      <t xml:space="preserve">mash</t>
    </r>
    <r>
      <rPr>
        <sz val="10"/>
        <rFont val="WenQuanYi Zen Hei"/>
        <family val="2"/>
      </rPr>
      <t xml:space="preserve">・承認日なし。</t>
    </r>
  </si>
  <si>
    <r>
      <rPr>
        <sz val="10"/>
        <rFont val="WenQuanYi Zen Hei"/>
        <family val="2"/>
      </rPr>
      <t xml:space="preserve">契約一元管理ファイルの現物・更新日、契約担当者の設置、</t>
    </r>
    <r>
      <rPr>
        <sz val="10"/>
        <rFont val="Arial"/>
        <family val="0"/>
        <charset val="1"/>
      </rPr>
      <t xml:space="preserve">WBS/</t>
    </r>
    <r>
      <rPr>
        <sz val="10"/>
        <rFont val="WenQuanYi Zen Hei"/>
        <family val="2"/>
      </rPr>
      <t xml:space="preserve">アタックリストの反社・</t>
    </r>
    <r>
      <rPr>
        <sz val="10"/>
        <rFont val="Arial"/>
        <family val="0"/>
        <charset val="1"/>
      </rPr>
      <t xml:space="preserve">NDA</t>
    </r>
    <r>
      <rPr>
        <sz val="10"/>
        <rFont val="WenQuanYi Zen Hei"/>
        <family val="2"/>
      </rPr>
      <t xml:space="preserve">チェック項目。春日部移転に伴う契約の一覧。</t>
    </r>
  </si>
  <si>
    <r>
      <rPr>
        <sz val="10"/>
        <rFont val="Arial"/>
        <family val="0"/>
        <charset val="1"/>
      </rPr>
      <t xml:space="preserve">2023/10 #44</t>
    </r>
    <r>
      <rPr>
        <sz val="10"/>
        <rFont val="WenQuanYi Zen Hei"/>
        <family val="2"/>
      </rPr>
      <t xml:space="preserve">を含め</t>
    </r>
    <r>
      <rPr>
        <sz val="10"/>
        <rFont val="Arial"/>
        <family val="0"/>
        <charset val="1"/>
      </rPr>
      <t xml:space="preserve">3</t>
    </r>
    <r>
      <rPr>
        <sz val="10"/>
        <rFont val="WenQuanYi Zen Hei"/>
        <family val="2"/>
      </rPr>
      <t xml:space="preserve">回目。</t>
    </r>
    <r>
      <rPr>
        <sz val="10"/>
        <rFont val="Arial"/>
        <family val="0"/>
        <charset val="1"/>
      </rPr>
      <t xml:space="preserve">2026</t>
    </r>
    <r>
      <rPr>
        <sz val="10"/>
        <rFont val="WenQuanYi Zen Hei"/>
        <family val="2"/>
      </rPr>
      <t xml:space="preserve">年に新たな事後稟議が発生していないか（</t>
    </r>
    <r>
      <rPr>
        <sz val="10"/>
        <rFont val="Arial"/>
        <family val="0"/>
        <charset val="1"/>
      </rPr>
      <t xml:space="preserve">ADO</t>
    </r>
    <r>
      <rPr>
        <sz val="10"/>
        <rFont val="WenQuanYi Zen Hei"/>
        <family val="2"/>
      </rPr>
      <t xml:space="preserve">側の事後稟議記録とも突合）。</t>
    </r>
  </si>
  <si>
    <r>
      <rPr>
        <sz val="10"/>
        <rFont val="Arial"/>
        <family val="0"/>
        <charset val="1"/>
      </rPr>
      <t xml:space="preserve">#54</t>
    </r>
    <r>
      <rPr>
        <sz val="10"/>
        <rFont val="WenQuanYi Zen Hei"/>
        <family val="2"/>
      </rPr>
      <t xml:space="preserve">は完了予定</t>
    </r>
    <r>
      <rPr>
        <sz val="10"/>
        <rFont val="Arial"/>
        <family val="0"/>
        <charset val="1"/>
      </rPr>
      <t xml:space="preserve">2024/3/6</t>
    </r>
    <r>
      <rPr>
        <sz val="10"/>
        <rFont val="WenQuanYi Zen Hei"/>
        <family val="2"/>
      </rPr>
      <t xml:space="preserve">に対し完了日なし。</t>
    </r>
    <r>
      <rPr>
        <sz val="10"/>
        <rFont val="Arial"/>
        <family val="0"/>
        <charset val="1"/>
      </rPr>
      <t xml:space="preserve">#64</t>
    </r>
    <r>
      <rPr>
        <sz val="10"/>
        <rFont val="WenQuanYi Zen Hei"/>
        <family val="2"/>
      </rPr>
      <t xml:space="preserve">は完了予定・完了日なし。</t>
    </r>
  </si>
  <si>
    <t xml:space="preserve">④</t>
  </si>
  <si>
    <r>
      <rPr>
        <sz val="10"/>
        <rFont val="Arial"/>
        <family val="0"/>
        <charset val="1"/>
      </rPr>
      <t xml:space="preserve">#53 </t>
    </r>
    <r>
      <rPr>
        <sz val="10"/>
        <rFont val="WenQuanYi Zen Hei"/>
        <family val="2"/>
      </rPr>
      <t xml:space="preserve">コンセプトブックの同梱漏れ（</t>
    </r>
    <r>
      <rPr>
        <sz val="10"/>
        <rFont val="Arial"/>
        <family val="0"/>
        <charset val="1"/>
      </rPr>
      <t xml:space="preserve">2024/2 Lv3 285</t>
    </r>
    <r>
      <rPr>
        <sz val="10"/>
        <rFont val="WenQuanYi Zen Hei"/>
        <family val="2"/>
      </rPr>
      <t xml:space="preserve">名）
</t>
    </r>
    <r>
      <rPr>
        <sz val="10"/>
        <rFont val="Arial"/>
        <family val="0"/>
        <charset val="1"/>
      </rPr>
      <t xml:space="preserve">#68 </t>
    </r>
    <r>
      <rPr>
        <sz val="10"/>
        <rFont val="WenQuanYi Zen Hei"/>
        <family val="2"/>
      </rPr>
      <t xml:space="preserve">友達紹介</t>
    </r>
    <r>
      <rPr>
        <sz val="10"/>
        <rFont val="Arial"/>
        <family val="0"/>
        <charset val="1"/>
      </rPr>
      <t xml:space="preserve">DM</t>
    </r>
    <r>
      <rPr>
        <sz val="10"/>
        <rFont val="WenQuanYi Zen Hei"/>
        <family val="2"/>
      </rPr>
      <t xml:space="preserve">の発送停止ミス（</t>
    </r>
    <r>
      <rPr>
        <sz val="10"/>
        <rFont val="Arial"/>
        <family val="0"/>
        <charset val="1"/>
      </rPr>
      <t xml:space="preserve">2025/7 Lv3 2,853</t>
    </r>
    <r>
      <rPr>
        <sz val="10"/>
        <rFont val="WenQuanYi Zen Hei"/>
        <family val="2"/>
      </rPr>
      <t xml:space="preserve">名）</t>
    </r>
  </si>
  <si>
    <r>
      <rPr>
        <sz val="10"/>
        <rFont val="Arial"/>
        <family val="0"/>
        <charset val="1"/>
      </rPr>
      <t xml:space="preserve">#53</t>
    </r>
    <r>
      <rPr>
        <sz val="10"/>
        <rFont val="WenQuanYi Zen Hei"/>
        <family val="2"/>
      </rPr>
      <t xml:space="preserve">は承認</t>
    </r>
    <r>
      <rPr>
        <sz val="10"/>
        <rFont val="Arial"/>
        <family val="0"/>
        <charset val="1"/>
      </rPr>
      <t xml:space="preserve">ash 2024/2/16</t>
    </r>
    <r>
      <rPr>
        <sz val="10"/>
        <rFont val="WenQuanYi Zen Hei"/>
        <family val="2"/>
      </rPr>
      <t xml:space="preserve">。</t>
    </r>
    <r>
      <rPr>
        <sz val="10"/>
        <rFont val="Arial"/>
        <family val="0"/>
        <charset val="1"/>
      </rPr>
      <t xml:space="preserve">#68</t>
    </r>
    <r>
      <rPr>
        <sz val="10"/>
        <rFont val="WenQuanYi Zen Hei"/>
        <family val="2"/>
      </rPr>
      <t xml:space="preserve">は承認者</t>
    </r>
    <r>
      <rPr>
        <sz val="10"/>
        <rFont val="Arial"/>
        <family val="0"/>
        <charset val="1"/>
      </rPr>
      <t xml:space="preserve">mash</t>
    </r>
    <r>
      <rPr>
        <sz val="10"/>
        <rFont val="WenQuanYi Zen Hei"/>
        <family val="2"/>
      </rPr>
      <t xml:space="preserve">・承認日なし。</t>
    </r>
  </si>
  <si>
    <r>
      <rPr>
        <sz val="10"/>
        <rFont val="WenQuanYi Zen Hei"/>
        <family val="2"/>
      </rPr>
      <t xml:space="preserve">同梱依頼シート（確認者</t>
    </r>
    <r>
      <rPr>
        <sz val="10"/>
        <rFont val="Arial"/>
        <family val="0"/>
        <charset val="1"/>
      </rPr>
      <t xml:space="preserve">SCM2</t>
    </r>
    <r>
      <rPr>
        <sz val="10"/>
        <rFont val="WenQuanYi Zen Hei"/>
        <family val="2"/>
      </rPr>
      <t xml:space="preserve">名）の直近の運用実績。期日アラートの実装（シート上の設定・</t>
    </r>
    <r>
      <rPr>
        <sz val="10"/>
        <rFont val="Arial"/>
        <family val="0"/>
        <charset val="1"/>
      </rPr>
      <t xml:space="preserve">Slack</t>
    </r>
    <r>
      <rPr>
        <sz val="10"/>
        <rFont val="WenQuanYi Zen Hei"/>
        <family val="2"/>
      </rPr>
      <t xml:space="preserve">通知）と現場共有の場。</t>
    </r>
  </si>
  <si>
    <r>
      <rPr>
        <sz val="10"/>
        <rFont val="Arial"/>
        <family val="0"/>
        <charset val="1"/>
      </rPr>
      <t xml:space="preserve">#53</t>
    </r>
    <r>
      <rPr>
        <sz val="10"/>
        <rFont val="WenQuanYi Zen Hei"/>
        <family val="2"/>
      </rPr>
      <t xml:space="preserve">の対策は動いていたが</t>
    </r>
    <r>
      <rPr>
        <sz val="10"/>
        <rFont val="Arial"/>
        <family val="0"/>
        <charset val="1"/>
      </rPr>
      <t xml:space="preserve">#68</t>
    </r>
    <r>
      <rPr>
        <sz val="10"/>
        <rFont val="WenQuanYi Zen Hei"/>
        <family val="2"/>
      </rPr>
      <t xml:space="preserve">で期日見落とし＝人依存部分で再発。アラート自動化後の再発有無。</t>
    </r>
  </si>
  <si>
    <r>
      <rPr>
        <sz val="10"/>
        <rFont val="Arial"/>
        <family val="0"/>
        <charset val="1"/>
      </rPr>
      <t xml:space="preserve">#68</t>
    </r>
    <r>
      <rPr>
        <sz val="10"/>
        <rFont val="WenQuanYi Zen Hei"/>
        <family val="2"/>
      </rPr>
      <t xml:space="preserve">は完了予定・完了日なし。</t>
    </r>
  </si>
  <si>
    <t xml:space="preserve">⑤</t>
  </si>
  <si>
    <r>
      <rPr>
        <sz val="10"/>
        <rFont val="Arial"/>
        <family val="0"/>
        <charset val="1"/>
      </rPr>
      <t xml:space="preserve">#75 </t>
    </r>
    <r>
      <rPr>
        <sz val="10"/>
        <rFont val="WenQuanYi Zen Hei"/>
        <family val="2"/>
      </rPr>
      <t xml:space="preserve">伝票同梱による個人情報流出（</t>
    </r>
    <r>
      <rPr>
        <sz val="10"/>
        <rFont val="Arial"/>
        <family val="0"/>
        <charset val="1"/>
      </rPr>
      <t xml:space="preserve">Mall 2025/12</t>
    </r>
    <r>
      <rPr>
        <sz val="10"/>
        <rFont val="WenQuanYi Zen Hei"/>
        <family val="2"/>
      </rPr>
      <t xml:space="preserve">発生・</t>
    </r>
    <r>
      <rPr>
        <sz val="10"/>
        <rFont val="Arial"/>
        <family val="0"/>
        <charset val="1"/>
      </rPr>
      <t xml:space="preserve">2026/1</t>
    </r>
    <r>
      <rPr>
        <sz val="10"/>
        <rFont val="WenQuanYi Zen Hei"/>
        <family val="2"/>
      </rPr>
      <t xml:space="preserve">発見 </t>
    </r>
    <r>
      <rPr>
        <sz val="10"/>
        <rFont val="Arial"/>
        <family val="0"/>
        <charset val="1"/>
      </rPr>
      <t xml:space="preserve">Lv3 2</t>
    </r>
    <r>
      <rPr>
        <sz val="10"/>
        <rFont val="WenQuanYi Zen Hei"/>
        <family val="2"/>
      </rPr>
      <t xml:space="preserve">名）</t>
    </r>
  </si>
  <si>
    <r>
      <rPr>
        <sz val="10"/>
        <rFont val="WenQuanYi Zen Hei"/>
        <family val="2"/>
      </rPr>
      <t xml:space="preserve">承認</t>
    </r>
    <r>
      <rPr>
        <sz val="10"/>
        <rFont val="Arial"/>
        <family val="0"/>
        <charset val="1"/>
      </rPr>
      <t xml:space="preserve">ash 2026/1/28</t>
    </r>
    <r>
      <rPr>
        <sz val="10"/>
        <rFont val="WenQuanYi Zen Hei"/>
        <family val="2"/>
      </rPr>
      <t xml:space="preserve">あり。</t>
    </r>
    <r>
      <rPr>
        <sz val="10"/>
        <rFont val="Arial"/>
        <family val="0"/>
        <charset val="1"/>
      </rPr>
      <t xml:space="preserve">Lv3</t>
    </r>
    <r>
      <rPr>
        <sz val="10"/>
        <rFont val="WenQuanYi Zen Hei"/>
        <family val="2"/>
      </rPr>
      <t xml:space="preserve">かつ個人情報案件として社長承認・役員会確認の形跡を確認。</t>
    </r>
  </si>
  <si>
    <r>
      <rPr>
        <sz val="10"/>
        <rFont val="Arial"/>
        <family val="0"/>
        <charset val="1"/>
      </rPr>
      <t xml:space="preserve">OAK</t>
    </r>
    <r>
      <rPr>
        <sz val="10"/>
        <rFont val="WenQuanYi Zen Hei"/>
        <family val="2"/>
      </rPr>
      <t xml:space="preserve">物流の改訂手順書（送り状即時廃棄・当日返却点数と送り状枚数の一致確認）、メンテチェックシートのメモ欄一元化、お客様管理シートの更新。</t>
    </r>
  </si>
  <si>
    <t xml:space="preserve">個人情報流出の再発有無。出荷時に検知できない構造（格納後は検品なし）が残っていないか。</t>
  </si>
  <si>
    <r>
      <rPr>
        <sz val="10"/>
        <rFont val="WenQuanYi Zen Hei"/>
        <family val="2"/>
      </rPr>
      <t xml:space="preserve">完了予定日・対応完了日なし。固定設問</t>
    </r>
    <r>
      <rPr>
        <sz val="10"/>
        <rFont val="Arial"/>
        <family val="0"/>
        <charset val="1"/>
      </rPr>
      <t xml:space="preserve">No.14</t>
    </r>
    <r>
      <rPr>
        <sz val="10"/>
        <rFont val="WenQuanYi Zen Hei"/>
        <family val="2"/>
      </rPr>
      <t xml:space="preserve">（個人情報）とも連動。</t>
    </r>
  </si>
  <si>
    <t xml:space="preserve">⑥</t>
  </si>
  <si>
    <r>
      <rPr>
        <sz val="10"/>
        <rFont val="Arial"/>
        <family val="0"/>
        <charset val="1"/>
      </rPr>
      <t xml:space="preserve">#55 Disney</t>
    </r>
    <r>
      <rPr>
        <sz val="10"/>
        <rFont val="WenQuanYi Zen Hei"/>
        <family val="2"/>
      </rPr>
      <t xml:space="preserve">の</t>
    </r>
    <r>
      <rPr>
        <sz val="10"/>
        <rFont val="Arial"/>
        <family val="0"/>
        <charset val="1"/>
      </rPr>
      <t xml:space="preserve">C</t>
    </r>
    <r>
      <rPr>
        <sz val="10"/>
        <rFont val="WenQuanYi Zen Hei"/>
        <family val="2"/>
      </rPr>
      <t xml:space="preserve">品が二次流通業者へ引き渡し（</t>
    </r>
    <r>
      <rPr>
        <sz val="10"/>
        <rFont val="Arial"/>
        <family val="0"/>
        <charset val="1"/>
      </rPr>
      <t xml:space="preserve">2024/2 Lv3</t>
    </r>
    <r>
      <rPr>
        <sz val="10"/>
        <rFont val="WenQuanYi Zen Hei"/>
        <family val="2"/>
      </rPr>
      <t xml:space="preserve">）
</t>
    </r>
    <r>
      <rPr>
        <sz val="10"/>
        <rFont val="Arial"/>
        <family val="0"/>
        <charset val="1"/>
      </rPr>
      <t xml:space="preserve">#59 </t>
    </r>
    <r>
      <rPr>
        <sz val="10"/>
        <rFont val="WenQuanYi Zen Hei"/>
        <family val="2"/>
      </rPr>
      <t xml:space="preserve">オーク物流の停電による作業停止（</t>
    </r>
    <r>
      <rPr>
        <sz val="10"/>
        <rFont val="Arial"/>
        <family val="0"/>
        <charset val="1"/>
      </rPr>
      <t xml:space="preserve">2024/8 Lv3 66</t>
    </r>
    <r>
      <rPr>
        <sz val="10"/>
        <rFont val="WenQuanYi Zen Hei"/>
        <family val="2"/>
      </rPr>
      <t xml:space="preserve">名）</t>
    </r>
  </si>
  <si>
    <r>
      <rPr>
        <sz val="10"/>
        <rFont val="Arial"/>
        <family val="0"/>
        <charset val="1"/>
      </rPr>
      <t xml:space="preserve">#55 </t>
    </r>
    <r>
      <rPr>
        <sz val="10"/>
        <rFont val="WenQuanYi Zen Hei"/>
        <family val="2"/>
      </rPr>
      <t xml:space="preserve">承認</t>
    </r>
    <r>
      <rPr>
        <sz val="10"/>
        <rFont val="Arial"/>
        <family val="0"/>
        <charset val="1"/>
      </rPr>
      <t xml:space="preserve">ash 2024/4/3</t>
    </r>
    <r>
      <rPr>
        <sz val="10"/>
        <rFont val="WenQuanYi Zen Hei"/>
        <family val="2"/>
      </rPr>
      <t xml:space="preserve">、</t>
    </r>
    <r>
      <rPr>
        <sz val="10"/>
        <rFont val="Arial"/>
        <family val="0"/>
        <charset val="1"/>
      </rPr>
      <t xml:space="preserve">#59 </t>
    </r>
    <r>
      <rPr>
        <sz val="10"/>
        <rFont val="WenQuanYi Zen Hei"/>
        <family val="2"/>
      </rPr>
      <t xml:space="preserve">承認</t>
    </r>
    <r>
      <rPr>
        <sz val="10"/>
        <rFont val="Arial"/>
        <family val="0"/>
        <charset val="1"/>
      </rPr>
      <t xml:space="preserve">ash 2024/8/21</t>
    </r>
    <r>
      <rPr>
        <sz val="10"/>
        <rFont val="WenQuanYi Zen Hei"/>
        <family val="2"/>
      </rPr>
      <t xml:space="preserve">（いずれも承認日あり）。</t>
    </r>
  </si>
  <si>
    <r>
      <rPr>
        <sz val="10"/>
        <rFont val="Arial"/>
        <family val="0"/>
        <charset val="1"/>
      </rPr>
      <t xml:space="preserve">#55</t>
    </r>
    <r>
      <rPr>
        <sz val="10"/>
        <rFont val="WenQuanYi Zen Hei"/>
        <family val="2"/>
      </rPr>
      <t xml:space="preserve">：</t>
    </r>
    <r>
      <rPr>
        <sz val="10"/>
        <rFont val="Arial"/>
        <family val="0"/>
        <charset val="1"/>
      </rPr>
      <t xml:space="preserve">Bridge</t>
    </r>
    <r>
      <rPr>
        <sz val="10"/>
        <rFont val="WenQuanYi Zen Hei"/>
        <family val="2"/>
      </rPr>
      <t xml:space="preserve">の</t>
    </r>
    <r>
      <rPr>
        <sz val="10"/>
        <rFont val="Arial"/>
        <family val="0"/>
        <charset val="1"/>
      </rPr>
      <t xml:space="preserve">2</t>
    </r>
    <r>
      <rPr>
        <sz val="10"/>
        <rFont val="WenQuanYi Zen Hei"/>
        <family val="2"/>
      </rPr>
      <t xml:space="preserve">次流通</t>
    </r>
    <r>
      <rPr>
        <sz val="10"/>
        <rFont val="Arial"/>
        <family val="0"/>
        <charset val="1"/>
      </rPr>
      <t xml:space="preserve">NG</t>
    </r>
    <r>
      <rPr>
        <sz val="10"/>
        <rFont val="WenQuanYi Zen Hei"/>
        <family val="2"/>
      </rPr>
      <t xml:space="preserve">表示の画面。</t>
    </r>
    <r>
      <rPr>
        <sz val="10"/>
        <rFont val="Arial"/>
        <family val="0"/>
        <charset val="1"/>
      </rPr>
      <t xml:space="preserve">#59</t>
    </r>
    <r>
      <rPr>
        <sz val="10"/>
        <rFont val="WenQuanYi Zen Hei"/>
        <family val="2"/>
      </rPr>
      <t xml:space="preserve">：</t>
    </r>
    <r>
      <rPr>
        <sz val="10"/>
        <rFont val="Arial"/>
        <family val="0"/>
        <charset val="1"/>
      </rPr>
      <t xml:space="preserve">Wi-Fi</t>
    </r>
    <r>
      <rPr>
        <sz val="10"/>
        <rFont val="WenQuanYi Zen Hei"/>
        <family val="2"/>
      </rPr>
      <t xml:space="preserve">冗長化の実物、</t>
    </r>
    <r>
      <rPr>
        <sz val="10"/>
        <rFont val="Arial"/>
        <family val="0"/>
        <charset val="1"/>
      </rPr>
      <t xml:space="preserve">OAK</t>
    </r>
    <r>
      <rPr>
        <sz val="10"/>
        <rFont val="WenQuanYi Zen Hei"/>
        <family val="2"/>
      </rPr>
      <t xml:space="preserve">物流の電源強化の経過報告、出荷前検品の契約改定。</t>
    </r>
  </si>
  <si>
    <t xml:space="preserve">システム対策に依存する案件で、未実装のまま放置されていないか。未実装なら運用代替策の有無。</t>
  </si>
  <si>
    <r>
      <rPr>
        <sz val="10"/>
        <rFont val="Arial"/>
        <family val="0"/>
        <charset val="1"/>
      </rPr>
      <t xml:space="preserve">#55 </t>
    </r>
    <r>
      <rPr>
        <sz val="10"/>
        <rFont val="WenQuanYi Zen Hei"/>
        <family val="2"/>
      </rPr>
      <t xml:space="preserve">完了予定</t>
    </r>
    <r>
      <rPr>
        <sz val="10"/>
        <rFont val="Arial"/>
        <family val="0"/>
        <charset val="1"/>
      </rPr>
      <t xml:space="preserve">2024/6/30</t>
    </r>
    <r>
      <rPr>
        <sz val="10"/>
        <rFont val="WenQuanYi Zen Hei"/>
        <family val="2"/>
      </rPr>
      <t xml:space="preserve">、</t>
    </r>
    <r>
      <rPr>
        <sz val="10"/>
        <rFont val="Arial"/>
        <family val="0"/>
        <charset val="1"/>
      </rPr>
      <t xml:space="preserve">#59 </t>
    </r>
    <r>
      <rPr>
        <sz val="10"/>
        <rFont val="WenQuanYi Zen Hei"/>
        <family val="2"/>
      </rPr>
      <t xml:space="preserve">完了予定</t>
    </r>
    <r>
      <rPr>
        <sz val="10"/>
        <rFont val="Arial"/>
        <family val="0"/>
        <charset val="1"/>
      </rPr>
      <t xml:space="preserve">2024/8/31</t>
    </r>
    <r>
      <rPr>
        <sz val="10"/>
        <rFont val="WenQuanYi Zen Hei"/>
        <family val="2"/>
      </rPr>
      <t xml:space="preserve">に対し、いずれも完了日未記入（</t>
    </r>
    <r>
      <rPr>
        <sz val="10"/>
        <rFont val="Arial"/>
        <family val="0"/>
        <charset val="1"/>
      </rPr>
      <t xml:space="preserve">2</t>
    </r>
    <r>
      <rPr>
        <sz val="10"/>
        <rFont val="WenQuanYi Zen Hei"/>
        <family val="2"/>
      </rPr>
      <t xml:space="preserve">年超の期限超過）。</t>
    </r>
  </si>
  <si>
    <t xml:space="preserve">#</t>
  </si>
  <si>
    <t xml:space="preserve">関連事例</t>
  </si>
  <si>
    <r>
      <rPr>
        <b val="true"/>
        <sz val="10"/>
        <color rgb="FFFFFFFF"/>
        <rFont val="WenQuanYi Zen Hei"/>
        <family val="2"/>
      </rPr>
      <t xml:space="preserve">準備いただきたい現物（既存物で</t>
    </r>
    <r>
      <rPr>
        <b val="true"/>
        <sz val="10"/>
        <color rgb="FFFFFFFF"/>
        <rFont val="Arial"/>
        <family val="0"/>
        <charset val="1"/>
      </rPr>
      <t xml:space="preserve">OK</t>
    </r>
    <r>
      <rPr>
        <b val="true"/>
        <sz val="10"/>
        <color rgb="FFFFFFFF"/>
        <rFont val="WenQuanYi Zen Hei"/>
        <family val="2"/>
      </rPr>
      <t xml:space="preserve">・新規作成不要）</t>
    </r>
  </si>
  <si>
    <t xml:space="preserve">想定の形</t>
  </si>
  <si>
    <t xml:space="preserve">備考</t>
  </si>
  <si>
    <r>
      <rPr>
        <sz val="10"/>
        <rFont val="WenQuanYi Zen Hei"/>
        <family val="2"/>
      </rPr>
      <t xml:space="preserve">同梱品の月次棚卸しの記録（直近月分）と</t>
    </r>
    <r>
      <rPr>
        <sz val="10"/>
        <rFont val="Arial"/>
        <family val="0"/>
        <charset val="1"/>
      </rPr>
      <t xml:space="preserve">OAK</t>
    </r>
    <r>
      <rPr>
        <sz val="10"/>
        <rFont val="WenQuanYi Zen Hei"/>
        <family val="2"/>
      </rPr>
      <t xml:space="preserve">物流との作業合意（工数・費用）</t>
    </r>
  </si>
  <si>
    <r>
      <rPr>
        <sz val="10"/>
        <rFont val="WenQuanYi Zen Hei"/>
        <family val="2"/>
      </rPr>
      <t xml:space="preserve">スプレッドシート／メール／</t>
    </r>
    <r>
      <rPr>
        <sz val="10"/>
        <rFont val="Arial"/>
        <family val="0"/>
        <charset val="1"/>
      </rPr>
      <t xml:space="preserve">Slack</t>
    </r>
  </si>
  <si>
    <r>
      <rPr>
        <sz val="10"/>
        <rFont val="Arial"/>
        <family val="0"/>
        <charset val="1"/>
      </rPr>
      <t xml:space="preserve">#61</t>
    </r>
    <r>
      <rPr>
        <sz val="10"/>
        <rFont val="WenQuanYi Zen Hei"/>
        <family val="2"/>
      </rPr>
      <t xml:space="preserve">・</t>
    </r>
    <r>
      <rPr>
        <sz val="10"/>
        <rFont val="Arial"/>
        <family val="0"/>
        <charset val="1"/>
      </rPr>
      <t xml:space="preserve">#62</t>
    </r>
    <r>
      <rPr>
        <sz val="10"/>
        <rFont val="WenQuanYi Zen Hei"/>
        <family val="2"/>
      </rPr>
      <t xml:space="preserve">の恒久対応</t>
    </r>
  </si>
  <si>
    <t xml:space="preserve">①④</t>
  </si>
  <si>
    <r>
      <rPr>
        <sz val="10"/>
        <rFont val="WenQuanYi Zen Hei"/>
        <family val="2"/>
      </rPr>
      <t xml:space="preserve">同梱依頼シートの最新版（確認者</t>
    </r>
    <r>
      <rPr>
        <sz val="10"/>
        <rFont val="Arial"/>
        <family val="0"/>
        <charset val="1"/>
      </rPr>
      <t xml:space="preserve">2</t>
    </r>
    <r>
      <rPr>
        <sz val="10"/>
        <rFont val="WenQuanYi Zen Hei"/>
        <family val="2"/>
      </rPr>
      <t xml:space="preserve">名の運用実績、期日アラートの設定）</t>
    </r>
  </si>
  <si>
    <r>
      <rPr>
        <sz val="10"/>
        <rFont val="WenQuanYi Zen Hei"/>
        <family val="2"/>
      </rPr>
      <t xml:space="preserve">スプレッドシート本体・</t>
    </r>
    <r>
      <rPr>
        <sz val="10"/>
        <rFont val="Arial"/>
        <family val="0"/>
        <charset val="1"/>
      </rPr>
      <t xml:space="preserve">Slack</t>
    </r>
    <r>
      <rPr>
        <sz val="10"/>
        <rFont val="WenQuanYi Zen Hei"/>
        <family val="2"/>
      </rPr>
      <t xml:space="preserve">通知</t>
    </r>
  </si>
  <si>
    <r>
      <rPr>
        <sz val="10"/>
        <rFont val="Arial"/>
        <family val="0"/>
        <charset val="1"/>
      </rPr>
      <t xml:space="preserve">#53</t>
    </r>
    <r>
      <rPr>
        <sz val="10"/>
        <rFont val="WenQuanYi Zen Hei"/>
        <family val="2"/>
      </rPr>
      <t xml:space="preserve">・</t>
    </r>
    <r>
      <rPr>
        <sz val="10"/>
        <rFont val="Arial"/>
        <family val="0"/>
        <charset val="1"/>
      </rPr>
      <t xml:space="preserve">#68</t>
    </r>
    <r>
      <rPr>
        <sz val="10"/>
        <rFont val="WenQuanYi Zen Hei"/>
        <family val="2"/>
      </rPr>
      <t xml:space="preserve">の恒久対応</t>
    </r>
  </si>
  <si>
    <r>
      <rPr>
        <sz val="10"/>
        <rFont val="WenQuanYi Zen Hei"/>
        <family val="2"/>
      </rPr>
      <t xml:space="preserve">出荷締め完了の</t>
    </r>
    <r>
      <rPr>
        <sz val="10"/>
        <rFont val="Arial"/>
        <family val="0"/>
        <charset val="1"/>
      </rPr>
      <t xml:space="preserve">Slack</t>
    </r>
    <r>
      <rPr>
        <sz val="10"/>
        <rFont val="WenQuanYi Zen Hei"/>
        <family val="2"/>
      </rPr>
      <t xml:space="preserve">報告スレッド（直近</t>
    </r>
    <r>
      <rPr>
        <sz val="10"/>
        <rFont val="Arial"/>
        <family val="0"/>
        <charset val="1"/>
      </rPr>
      <t xml:space="preserve">2</t>
    </r>
    <r>
      <rPr>
        <sz val="10"/>
        <rFont val="WenQuanYi Zen Hei"/>
        <family val="2"/>
      </rPr>
      <t xml:space="preserve">週間）と日次</t>
    </r>
    <r>
      <rPr>
        <sz val="10"/>
        <rFont val="Arial"/>
        <family val="0"/>
        <charset val="1"/>
      </rPr>
      <t xml:space="preserve">Slack</t>
    </r>
    <r>
      <rPr>
        <sz val="10"/>
        <rFont val="WenQuanYi Zen Hei"/>
        <family val="2"/>
      </rPr>
      <t xml:space="preserve">通知の設定画面</t>
    </r>
  </si>
  <si>
    <r>
      <rPr>
        <sz val="10"/>
        <rFont val="Arial"/>
        <family val="0"/>
        <charset val="1"/>
      </rPr>
      <t xml:space="preserve">Slack</t>
    </r>
    <r>
      <rPr>
        <sz val="10"/>
        <rFont val="WenQuanYi Zen Hei"/>
        <family val="2"/>
      </rPr>
      <t xml:space="preserve">チャンネルを画面共有</t>
    </r>
  </si>
  <si>
    <r>
      <rPr>
        <sz val="10"/>
        <rFont val="Arial"/>
        <family val="0"/>
        <charset val="1"/>
      </rPr>
      <t xml:space="preserve">#76</t>
    </r>
    <r>
      <rPr>
        <sz val="10"/>
        <rFont val="WenQuanYi Zen Hei"/>
        <family val="2"/>
      </rPr>
      <t xml:space="preserve">・</t>
    </r>
    <r>
      <rPr>
        <sz val="10"/>
        <rFont val="Arial"/>
        <family val="0"/>
        <charset val="1"/>
      </rPr>
      <t xml:space="preserve">#77</t>
    </r>
    <r>
      <rPr>
        <sz val="10"/>
        <rFont val="WenQuanYi Zen Hei"/>
        <family val="2"/>
      </rPr>
      <t xml:space="preserve">の恒久対応</t>
    </r>
  </si>
  <si>
    <t xml:space="preserve">契約一元管理ファイル（契約担当者名・更新日がわかるもの）</t>
  </si>
  <si>
    <t xml:space="preserve">スプレッドシート</t>
  </si>
  <si>
    <r>
      <rPr>
        <sz val="10"/>
        <rFont val="Arial"/>
        <family val="0"/>
        <charset val="1"/>
      </rPr>
      <t xml:space="preserve">#64</t>
    </r>
    <r>
      <rPr>
        <sz val="10"/>
        <rFont val="WenQuanYi Zen Hei"/>
        <family val="2"/>
      </rPr>
      <t xml:space="preserve">の恒久対応。春日部移転関連契約を含む</t>
    </r>
  </si>
  <si>
    <r>
      <rPr>
        <sz val="10"/>
        <rFont val="Arial"/>
        <family val="0"/>
        <charset val="1"/>
      </rPr>
      <t xml:space="preserve">WBS</t>
    </r>
    <r>
      <rPr>
        <sz val="10"/>
        <rFont val="WenQuanYi Zen Hei"/>
        <family val="2"/>
      </rPr>
      <t xml:space="preserve">／アタックリストの反社チェック・</t>
    </r>
    <r>
      <rPr>
        <sz val="10"/>
        <rFont val="Arial"/>
        <family val="0"/>
        <charset val="1"/>
      </rPr>
      <t xml:space="preserve">NDA</t>
    </r>
    <r>
      <rPr>
        <sz val="10"/>
        <rFont val="WenQuanYi Zen Hei"/>
        <family val="2"/>
      </rPr>
      <t xml:space="preserve">チェック項目</t>
    </r>
  </si>
  <si>
    <r>
      <rPr>
        <sz val="10"/>
        <rFont val="Arial"/>
        <family val="0"/>
        <charset val="1"/>
      </rPr>
      <t xml:space="preserve">#54</t>
    </r>
    <r>
      <rPr>
        <sz val="10"/>
        <rFont val="WenQuanYi Zen Hei"/>
        <family val="2"/>
      </rPr>
      <t xml:space="preserve">の恒久対応</t>
    </r>
  </si>
  <si>
    <r>
      <rPr>
        <sz val="10"/>
        <rFont val="Arial"/>
        <family val="0"/>
        <charset val="1"/>
      </rPr>
      <t xml:space="preserve">OAK</t>
    </r>
    <r>
      <rPr>
        <sz val="10"/>
        <rFont val="WenQuanYi Zen Hei"/>
        <family val="2"/>
      </rPr>
      <t xml:space="preserve">物流の改訂手順書（返却荷受後の送り状即時廃棄・枚数一致確認）と一致確認の記録</t>
    </r>
  </si>
  <si>
    <t xml:space="preserve">手順書・チェック記録</t>
  </si>
  <si>
    <r>
      <rPr>
        <sz val="10"/>
        <rFont val="Arial"/>
        <family val="0"/>
        <charset val="1"/>
      </rPr>
      <t xml:space="preserve">#75</t>
    </r>
    <r>
      <rPr>
        <sz val="10"/>
        <rFont val="WenQuanYi Zen Hei"/>
        <family val="2"/>
      </rPr>
      <t xml:space="preserve">の恒久対応</t>
    </r>
  </si>
  <si>
    <r>
      <rPr>
        <sz val="10"/>
        <rFont val="Arial"/>
        <family val="0"/>
        <charset val="1"/>
      </rPr>
      <t xml:space="preserve">Bridge</t>
    </r>
    <r>
      <rPr>
        <sz val="10"/>
        <rFont val="WenQuanYi Zen Hei"/>
        <family val="2"/>
      </rPr>
      <t xml:space="preserve">の</t>
    </r>
    <r>
      <rPr>
        <sz val="10"/>
        <rFont val="Arial"/>
        <family val="0"/>
        <charset val="1"/>
      </rPr>
      <t xml:space="preserve">2</t>
    </r>
    <r>
      <rPr>
        <sz val="10"/>
        <rFont val="WenQuanYi Zen Hei"/>
        <family val="2"/>
      </rPr>
      <t xml:space="preserve">次流通</t>
    </r>
    <r>
      <rPr>
        <sz val="10"/>
        <rFont val="Arial"/>
        <family val="0"/>
        <charset val="1"/>
      </rPr>
      <t xml:space="preserve">NG</t>
    </r>
    <r>
      <rPr>
        <sz val="10"/>
        <rFont val="WenQuanYi Zen Hei"/>
        <family val="2"/>
      </rPr>
      <t xml:space="preserve">表示の画面（または未実装の場合の現行運用）</t>
    </r>
  </si>
  <si>
    <t xml:space="preserve">画面共有</t>
  </si>
  <si>
    <r>
      <rPr>
        <sz val="10"/>
        <rFont val="Arial"/>
        <family val="0"/>
        <charset val="1"/>
      </rPr>
      <t xml:space="preserve">#55</t>
    </r>
    <r>
      <rPr>
        <sz val="10"/>
        <rFont val="WenQuanYi Zen Hei"/>
        <family val="2"/>
      </rPr>
      <t xml:space="preserve">の恒久対応</t>
    </r>
  </si>
  <si>
    <r>
      <rPr>
        <sz val="10"/>
        <rFont val="Arial"/>
        <family val="0"/>
        <charset val="1"/>
      </rPr>
      <t xml:space="preserve">Wi-Fi</t>
    </r>
    <r>
      <rPr>
        <sz val="10"/>
        <rFont val="WenQuanYi Zen Hei"/>
        <family val="2"/>
      </rPr>
      <t xml:space="preserve">冗長化の状況、</t>
    </r>
    <r>
      <rPr>
        <sz val="10"/>
        <rFont val="Arial"/>
        <family val="0"/>
        <charset val="1"/>
      </rPr>
      <t xml:space="preserve">OAK</t>
    </r>
    <r>
      <rPr>
        <sz val="10"/>
        <rFont val="WenQuanYi Zen Hei"/>
        <family val="2"/>
      </rPr>
      <t xml:space="preserve">物流の電源強化の経過報告</t>
    </r>
  </si>
  <si>
    <t xml:space="preserve">メール・写真等</t>
  </si>
  <si>
    <r>
      <rPr>
        <sz val="10"/>
        <rFont val="Arial"/>
        <family val="0"/>
        <charset val="1"/>
      </rPr>
      <t xml:space="preserve">#59</t>
    </r>
    <r>
      <rPr>
        <sz val="10"/>
        <rFont val="WenQuanYi Zen Hei"/>
        <family val="2"/>
      </rPr>
      <t xml:space="preserve">の恒久対応</t>
    </r>
  </si>
  <si>
    <t xml:space="preserve">－</t>
  </si>
  <si>
    <r>
      <rPr>
        <sz val="10"/>
        <rFont val="WenQuanYi Zen Hei"/>
        <family val="2"/>
      </rPr>
      <t xml:space="preserve">レベル</t>
    </r>
    <r>
      <rPr>
        <sz val="10"/>
        <rFont val="Arial"/>
        <family val="0"/>
        <charset val="1"/>
      </rPr>
      <t xml:space="preserve">3</t>
    </r>
    <r>
      <rPr>
        <sz val="10"/>
        <rFont val="WenQuanYi Zen Hei"/>
        <family val="2"/>
      </rPr>
      <t xml:space="preserve">で恒久対応策が空欄の</t>
    </r>
    <r>
      <rPr>
        <sz val="10"/>
        <rFont val="Arial"/>
        <family val="0"/>
        <charset val="1"/>
      </rPr>
      <t xml:space="preserve">6</t>
    </r>
    <r>
      <rPr>
        <sz val="10"/>
        <rFont val="WenQuanYi Zen Hei"/>
        <family val="2"/>
      </rPr>
      <t xml:space="preserve">件（</t>
    </r>
    <r>
      <rPr>
        <sz val="10"/>
        <rFont val="Arial"/>
        <family val="0"/>
        <charset val="1"/>
      </rPr>
      <t xml:space="preserve">#69,70,71,73,74,80</t>
    </r>
    <r>
      <rPr>
        <sz val="10"/>
        <rFont val="WenQuanYi Zen Hei"/>
        <family val="2"/>
      </rPr>
      <t xml:space="preserve">）について、対応不要と判断した場合はその経緯</t>
    </r>
  </si>
  <si>
    <t xml:space="preserve">口頭でも可</t>
  </si>
  <si>
    <t xml:space="preserve">記録運用の確認</t>
  </si>
  <si>
    <r>
      <rPr>
        <sz val="10"/>
        <rFont val="WenQuanYi Zen Hei"/>
        <family val="2"/>
      </rPr>
      <t xml:space="preserve">倉庫で使用している</t>
    </r>
    <r>
      <rPr>
        <sz val="10"/>
        <rFont val="Arial"/>
        <family val="0"/>
        <charset val="1"/>
      </rPr>
      <t xml:space="preserve">Google</t>
    </r>
    <r>
      <rPr>
        <sz val="10"/>
        <rFont val="WenQuanYi Zen Hei"/>
        <family val="2"/>
      </rPr>
      <t xml:space="preserve">アカウントの一覧と利用者（共有の有無）</t>
    </r>
  </si>
  <si>
    <r>
      <rPr>
        <sz val="10"/>
        <rFont val="Arial"/>
        <family val="0"/>
        <charset val="1"/>
      </rPr>
      <t xml:space="preserve">#79</t>
    </r>
    <r>
      <rPr>
        <sz val="10"/>
        <rFont val="WenQuanYi Zen Hei"/>
        <family val="2"/>
      </rPr>
      <t xml:space="preserve">・固定設問</t>
    </r>
    <r>
      <rPr>
        <sz val="10"/>
        <rFont val="Arial"/>
        <family val="0"/>
        <charset val="1"/>
      </rPr>
      <t xml:space="preserve">No.16</t>
    </r>
  </si>
  <si>
    <r>
      <rPr>
        <sz val="10"/>
        <rFont val="Arial"/>
        <family val="0"/>
        <charset val="1"/>
      </rPr>
      <t xml:space="preserve">2026</t>
    </r>
    <r>
      <rPr>
        <sz val="10"/>
        <rFont val="WenQuanYi Zen Hei"/>
        <family val="2"/>
      </rPr>
      <t xml:space="preserve">年</t>
    </r>
    <r>
      <rPr>
        <sz val="10"/>
        <rFont val="Arial"/>
        <family val="0"/>
        <charset val="1"/>
      </rPr>
      <t xml:space="preserve">6</t>
    </r>
    <r>
      <rPr>
        <sz val="10"/>
        <rFont val="WenQuanYi Zen Hei"/>
        <family val="2"/>
      </rPr>
      <t xml:space="preserve">月以降に発生したインシデントの有無（未起票分があれば概要）</t>
    </r>
  </si>
  <si>
    <r>
      <rPr>
        <sz val="10"/>
        <rFont val="WenQuanYi Zen Hei"/>
        <family val="2"/>
      </rPr>
      <t xml:space="preserve">固定設問</t>
    </r>
    <r>
      <rPr>
        <sz val="10"/>
        <rFont val="Arial"/>
        <family val="0"/>
        <charset val="1"/>
      </rPr>
      <t xml:space="preserve">No.17</t>
    </r>
  </si>
  <si>
    <t xml:space="preserve">有効性</t>
  </si>
  <si>
    <t xml:space="preserve">SCMG-1</t>
  </si>
  <si>
    <t xml:space="preserve">2020/11/10</t>
  </si>
  <si>
    <t xml:space="preserve">エアータッチがセブンイレブンで全ユーザーが使用不可</t>
  </si>
  <si>
    <t xml:space="preserve">無</t>
  </si>
  <si>
    <t xml:space="preserve">事案発生時から、返却でセブンを利用しようとした全ユーザー</t>
  </si>
  <si>
    <r>
      <rPr>
        <sz val="10"/>
        <rFont val="WenQuanYi Zen Hei"/>
        <family val="2"/>
      </rPr>
      <t xml:space="preserve">障害発生時の補償についての覚書を結ぶ
</t>
    </r>
    <r>
      <rPr>
        <sz val="10"/>
        <rFont val="Arial"/>
        <family val="0"/>
        <charset val="1"/>
      </rPr>
      <t xml:space="preserve">12/2
</t>
    </r>
    <r>
      <rPr>
        <sz val="10"/>
        <rFont val="WenQuanYi Zen Hei"/>
        <family val="2"/>
      </rPr>
      <t xml:space="preserve">ヤマトと接触
覚書を結ぶ＆障害報告書をもらう合意
</t>
    </r>
    <r>
      <rPr>
        <sz val="10"/>
        <rFont val="Arial"/>
        <family val="0"/>
        <charset val="1"/>
      </rPr>
      <t xml:space="preserve">12/16
</t>
    </r>
    <r>
      <rPr>
        <sz val="10"/>
        <rFont val="WenQuanYi Zen Hei"/>
        <family val="2"/>
      </rPr>
      <t xml:space="preserve">覚書ドラフトを作成、管理部提出
ヤマト繁忙期のため、締結は年明けになりそう
年明け、ヤマト側からの返答なし
引き続き対応中（</t>
    </r>
    <r>
      <rPr>
        <sz val="10"/>
        <rFont val="Arial"/>
        <family val="0"/>
        <charset val="1"/>
      </rPr>
      <t xml:space="preserve">1/25</t>
    </r>
    <r>
      <rPr>
        <sz val="10"/>
        <rFont val="WenQuanYi Zen Hei"/>
        <family val="2"/>
      </rPr>
      <t xml:space="preserve">）
</t>
    </r>
    <r>
      <rPr>
        <sz val="10"/>
        <rFont val="Arial"/>
        <family val="0"/>
        <charset val="1"/>
      </rPr>
      <t xml:space="preserve">4/5
</t>
    </r>
    <r>
      <rPr>
        <sz val="10"/>
        <rFont val="WenQuanYi Zen Hei"/>
        <family val="2"/>
      </rPr>
      <t xml:space="preserve">覚書、経緯書送ってもらい押印確認中
</t>
    </r>
    <r>
      <rPr>
        <sz val="10"/>
        <rFont val="Arial"/>
        <family val="0"/>
        <charset val="1"/>
      </rPr>
      <t xml:space="preserve">4/12
</t>
    </r>
    <r>
      <rPr>
        <sz val="10"/>
        <rFont val="WenQuanYi Zen Hei"/>
        <family val="2"/>
      </rPr>
      <t xml:space="preserve">押印後送付済</t>
    </r>
  </si>
  <si>
    <t xml:space="preserve">SCMG-2</t>
  </si>
  <si>
    <t xml:space="preserve">2020/11/27</t>
  </si>
  <si>
    <t xml:space="preserve">2020/11/30</t>
  </si>
  <si>
    <t xml:space="preserve">佐川集荷依頼失敗</t>
  </si>
  <si>
    <t xml:space="preserve">有</t>
  </si>
  <si>
    <r>
      <rPr>
        <sz val="10"/>
        <rFont val="Arial"/>
        <family val="0"/>
        <charset val="1"/>
      </rPr>
      <t xml:space="preserve">27-30</t>
    </r>
    <r>
      <rPr>
        <sz val="10"/>
        <rFont val="WenQuanYi Zen Hei"/>
        <family val="2"/>
      </rPr>
      <t xml:space="preserve">の集荷依頼対応者</t>
    </r>
  </si>
  <si>
    <r>
      <rPr>
        <sz val="10"/>
        <rFont val="WenQuanYi Zen Hei"/>
        <family val="2"/>
      </rPr>
      <t xml:space="preserve">チェッカーを</t>
    </r>
    <r>
      <rPr>
        <sz val="10"/>
        <rFont val="Arial"/>
        <family val="0"/>
        <charset val="1"/>
      </rPr>
      <t xml:space="preserve">2</t>
    </r>
    <r>
      <rPr>
        <sz val="10"/>
        <rFont val="WenQuanYi Zen Hei"/>
        <family val="2"/>
      </rPr>
      <t xml:space="preserve">段階にした
※当初レベル</t>
    </r>
    <r>
      <rPr>
        <sz val="10"/>
        <rFont val="Arial"/>
        <family val="0"/>
        <charset val="1"/>
      </rPr>
      <t xml:space="preserve">2</t>
    </r>
    <r>
      <rPr>
        <sz val="10"/>
        <rFont val="WenQuanYi Zen Hei"/>
        <family val="2"/>
      </rPr>
      <t xml:space="preserve">インシデントとして起票</t>
    </r>
  </si>
  <si>
    <t xml:space="preserve">SCMG-3</t>
  </si>
  <si>
    <t xml:space="preserve">2021/05/10</t>
  </si>
  <si>
    <t xml:space="preserve">ささげバグ</t>
  </si>
  <si>
    <r>
      <rPr>
        <sz val="10"/>
        <rFont val="Arial"/>
        <family val="0"/>
        <charset val="1"/>
      </rPr>
      <t xml:space="preserve">4000</t>
    </r>
    <r>
      <rPr>
        <sz val="10"/>
        <rFont val="WenQuanYi Zen Hei"/>
        <family val="2"/>
      </rPr>
      <t xml:space="preserve">〜</t>
    </r>
    <r>
      <rPr>
        <sz val="10"/>
        <rFont val="Arial"/>
        <family val="0"/>
        <charset val="1"/>
      </rPr>
      <t xml:space="preserve">10000</t>
    </r>
    <r>
      <rPr>
        <sz val="10"/>
        <rFont val="WenQuanYi Zen Hei"/>
        <family val="2"/>
      </rPr>
      <t xml:space="preserve">ピースほど選定に上がらず１シーズン機会損失した</t>
    </r>
  </si>
  <si>
    <r>
      <rPr>
        <sz val="10"/>
        <rFont val="WenQuanYi Zen Hei"/>
        <family val="2"/>
      </rPr>
      <t xml:space="preserve">リファクタ改修部分を修正してリリース
対応コミット</t>
    </r>
    <r>
      <rPr>
        <sz val="10"/>
        <rFont val="Arial"/>
        <family val="0"/>
        <charset val="1"/>
      </rPr>
      <t xml:space="preserve">: https://github.com/air-closet/cella-api/pull/205/files</t>
    </r>
  </si>
  <si>
    <t xml:space="preserve">SCMG-4</t>
  </si>
  <si>
    <t xml:space="preserve">2021/09/25</t>
  </si>
  <si>
    <t xml:space="preserve">2021/09/26</t>
  </si>
  <si>
    <r>
      <rPr>
        <sz val="10"/>
        <rFont val="Arial"/>
        <family val="0"/>
        <charset val="1"/>
      </rPr>
      <t xml:space="preserve">24</t>
    </r>
    <r>
      <rPr>
        <sz val="10"/>
        <rFont val="WenQuanYi Zen Hei"/>
        <family val="2"/>
      </rPr>
      <t xml:space="preserve">人</t>
    </r>
  </si>
  <si>
    <t xml:space="preserve">毎日バッチをリリースしてキャッシュを毎日解放する開発をする</t>
  </si>
  <si>
    <t xml:space="preserve">SCMG-5</t>
  </si>
  <si>
    <t xml:space="preserve">2021/10/12</t>
  </si>
  <si>
    <t xml:space="preserve">スタイリストマイページが見えない</t>
  </si>
  <si>
    <r>
      <rPr>
        <sz val="10"/>
        <rFont val="Arial"/>
        <family val="0"/>
        <charset val="1"/>
      </rPr>
      <t xml:space="preserve">PDG</t>
    </r>
    <r>
      <rPr>
        <sz val="10"/>
        <rFont val="WenQuanYi Zen Hei"/>
        <family val="2"/>
      </rPr>
      <t xml:space="preserve">で対応</t>
    </r>
  </si>
  <si>
    <t xml:space="preserve">SCMG-6</t>
  </si>
  <si>
    <t xml:space="preserve">2021/10/13</t>
  </si>
  <si>
    <t xml:space="preserve">本来出荷できる在庫があるのに選定画面に上がってこない</t>
  </si>
  <si>
    <t xml:space="preserve">確認中</t>
  </si>
  <si>
    <t xml:space="preserve">インシデントではないことをイッチーさんと確認</t>
  </si>
  <si>
    <t xml:space="preserve">SCMG-7</t>
  </si>
  <si>
    <r>
      <rPr>
        <sz val="10"/>
        <rFont val="Arial"/>
        <family val="0"/>
        <charset val="1"/>
      </rPr>
      <t xml:space="preserve">55SKU
280</t>
    </r>
    <r>
      <rPr>
        <sz val="10"/>
        <rFont val="WenQuanYi Zen Hei"/>
        <family val="2"/>
      </rPr>
      <t xml:space="preserve">着使用せずに</t>
    </r>
    <r>
      <rPr>
        <sz val="10"/>
        <rFont val="Arial"/>
        <family val="0"/>
        <charset val="1"/>
      </rPr>
      <t xml:space="preserve">go_to_aC</t>
    </r>
    <r>
      <rPr>
        <sz val="10"/>
        <rFont val="WenQuanYi Zen Hei"/>
        <family val="2"/>
      </rPr>
      <t xml:space="preserve">などの対応をしていた</t>
    </r>
  </si>
  <si>
    <t xml:space="preserve">SCMG-8</t>
  </si>
  <si>
    <t xml:space="preserve">2021/10/19</t>
  </si>
  <si>
    <r>
      <rPr>
        <sz val="10"/>
        <rFont val="Arial"/>
        <family val="0"/>
        <charset val="1"/>
      </rPr>
      <t xml:space="preserve">NG</t>
    </r>
    <r>
      <rPr>
        <sz val="10"/>
        <rFont val="WenQuanYi Zen Hei"/>
        <family val="2"/>
      </rPr>
      <t xml:space="preserve">タグ登録ができない（</t>
    </r>
    <r>
      <rPr>
        <sz val="10"/>
        <rFont val="Arial"/>
        <family val="0"/>
        <charset val="1"/>
      </rPr>
      <t xml:space="preserve">WEB</t>
    </r>
    <r>
      <rPr>
        <sz val="10"/>
        <rFont val="WenQuanYi Zen Hei"/>
        <family val="2"/>
      </rPr>
      <t xml:space="preserve">・アプリ）</t>
    </r>
  </si>
  <si>
    <r>
      <rPr>
        <sz val="10"/>
        <rFont val="Arial"/>
        <family val="0"/>
        <charset val="1"/>
      </rPr>
      <t xml:space="preserve">2021-10-18 19:00</t>
    </r>
    <r>
      <rPr>
        <sz val="10"/>
        <rFont val="WenQuanYi Zen Hei"/>
        <family val="2"/>
      </rPr>
      <t xml:space="preserve">頃 〜 </t>
    </r>
    <r>
      <rPr>
        <sz val="10"/>
        <rFont val="Arial"/>
        <family val="0"/>
        <charset val="1"/>
      </rPr>
      <t xml:space="preserve">2021-10-19 18:30</t>
    </r>
    <r>
      <rPr>
        <sz val="10"/>
        <rFont val="WenQuanYi Zen Hei"/>
        <family val="2"/>
      </rPr>
      <t xml:space="preserve">の期間中に、
アイテムの</t>
    </r>
    <r>
      <rPr>
        <sz val="10"/>
        <rFont val="Arial"/>
        <family val="0"/>
        <charset val="1"/>
      </rPr>
      <t xml:space="preserve">Bad</t>
    </r>
    <r>
      <rPr>
        <sz val="10"/>
        <rFont val="WenQuanYi Zen Hei"/>
        <family val="2"/>
      </rPr>
      <t xml:space="preserve">感想を入力しようと…</t>
    </r>
  </si>
  <si>
    <t xml:space="preserve">SCMG-9</t>
  </si>
  <si>
    <t xml:space="preserve">2021/11/12</t>
  </si>
  <si>
    <t xml:space="preserve">2021/11/15</t>
  </si>
  <si>
    <r>
      <rPr>
        <sz val="10"/>
        <rFont val="WenQuanYi Zen Hei"/>
        <family val="2"/>
      </rPr>
      <t xml:space="preserve">【概要】
【人数 </t>
    </r>
    <r>
      <rPr>
        <sz val="10"/>
        <rFont val="Arial"/>
        <family val="0"/>
        <charset val="1"/>
      </rPr>
      <t xml:space="preserve">or </t>
    </r>
    <r>
      <rPr>
        <sz val="10"/>
        <rFont val="WenQuanYi Zen Hei"/>
        <family val="2"/>
      </rPr>
      <t xml:space="preserve">件数】
</t>
    </r>
    <r>
      <rPr>
        <sz val="10"/>
        <rFont val="Arial"/>
        <family val="0"/>
        <charset val="1"/>
      </rPr>
      <t xml:space="preserve">11/12</t>
    </r>
    <r>
      <rPr>
        <sz val="10"/>
        <rFont val="WenQuanYi Zen Hei"/>
        <family val="2"/>
      </rPr>
      <t xml:space="preserve">出荷の</t>
    </r>
    <r>
      <rPr>
        <sz val="10"/>
        <rFont val="Arial"/>
        <family val="0"/>
        <charset val="1"/>
      </rPr>
      <t xml:space="preserve">mall</t>
    </r>
    <r>
      <rPr>
        <sz val="10"/>
        <rFont val="WenQuanYi Zen Hei"/>
        <family val="2"/>
      </rPr>
      <t xml:space="preserve">全てのオーダー
</t>
    </r>
    <r>
      <rPr>
        <sz val="10"/>
        <rFont val="Arial"/>
        <family val="0"/>
        <charset val="1"/>
      </rPr>
      <t xml:space="preserve">25</t>
    </r>
    <r>
      <rPr>
        <sz val="10"/>
        <rFont val="WenQuanYi Zen Hei"/>
        <family val="2"/>
      </rPr>
      <t xml:space="preserve">件</t>
    </r>
  </si>
  <si>
    <r>
      <rPr>
        <sz val="10"/>
        <rFont val="WenQuanYi Zen Hei"/>
        <family val="2"/>
      </rPr>
      <t xml:space="preserve">エアクロやフィッティングと同じ運用にする
作業終了し出庫後に現場作業員が締め作業を行い、また毎日</t>
    </r>
    <r>
      <rPr>
        <sz val="10"/>
        <rFont val="Arial"/>
        <family val="0"/>
        <charset val="1"/>
      </rPr>
      <t xml:space="preserve">18</t>
    </r>
    <r>
      <rPr>
        <sz val="10"/>
        <rFont val="WenQuanYi Zen Hei"/>
        <family val="2"/>
      </rPr>
      <t xml:space="preserve">時半に管理者が締め作業を完了しているかも確認する
運用定例のトラブル管理シートにてオークさんとも確認ずみ</t>
    </r>
  </si>
  <si>
    <t xml:space="preserve">SCMG-10</t>
  </si>
  <si>
    <t xml:space="preserve">2021/11/27</t>
  </si>
  <si>
    <t xml:space="preserve">2021/12/08</t>
  </si>
  <si>
    <r>
      <rPr>
        <sz val="10"/>
        <rFont val="Arial"/>
        <family val="0"/>
        <charset val="1"/>
      </rPr>
      <t xml:space="preserve">aC</t>
    </r>
    <r>
      <rPr>
        <sz val="10"/>
        <rFont val="WenQuanYi Zen Hei"/>
        <family val="2"/>
      </rPr>
      <t xml:space="preserve">では過去アイテム購入処理されているのに、
</t>
    </r>
    <r>
      <rPr>
        <sz val="10"/>
        <rFont val="Arial"/>
        <family val="0"/>
        <charset val="1"/>
      </rPr>
      <t xml:space="preserve">Cella</t>
    </r>
    <r>
      <rPr>
        <sz val="10"/>
        <rFont val="WenQuanYi Zen Hei"/>
        <family val="2"/>
      </rPr>
      <t xml:space="preserve">上では</t>
    </r>
    <r>
      <rPr>
        <sz val="10"/>
        <rFont val="Arial"/>
        <family val="0"/>
        <charset val="1"/>
      </rPr>
      <t xml:space="preserve">SOLD</t>
    </r>
    <r>
      <rPr>
        <sz val="10"/>
        <rFont val="WenQuanYi Zen Hei"/>
        <family val="2"/>
      </rPr>
      <t xml:space="preserve">表記されている</t>
    </r>
  </si>
  <si>
    <r>
      <rPr>
        <sz val="10"/>
        <rFont val="WenQuanYi Zen Hei"/>
        <family val="2"/>
      </rPr>
      <t xml:space="preserve">【概要】
【人数 </t>
    </r>
    <r>
      <rPr>
        <sz val="10"/>
        <rFont val="Arial"/>
        <family val="0"/>
        <charset val="1"/>
      </rPr>
      <t xml:space="preserve">or </t>
    </r>
    <r>
      <rPr>
        <sz val="10"/>
        <rFont val="WenQuanYi Zen Hei"/>
        <family val="2"/>
      </rPr>
      <t xml:space="preserve">件数】
このフローに乗って、返送アイテムを手元に残した状態で購入したお客様
</t>
    </r>
    <r>
      <rPr>
        <sz val="10"/>
        <rFont val="Arial"/>
        <family val="0"/>
        <charset val="1"/>
      </rPr>
      <t xml:space="preserve">7</t>
    </r>
    <r>
      <rPr>
        <sz val="10"/>
        <rFont val="WenQuanYi Zen Hei"/>
        <family val="2"/>
      </rPr>
      <t xml:space="preserve">名
</t>
    </r>
    <r>
      <rPr>
        <sz val="10"/>
        <rFont val="Arial"/>
        <family val="0"/>
        <charset val="1"/>
      </rPr>
      <t xml:space="preserve">https:/…</t>
    </r>
  </si>
  <si>
    <r>
      <rPr>
        <sz val="10"/>
        <rFont val="Arial"/>
        <family val="0"/>
        <charset val="1"/>
      </rPr>
      <t xml:space="preserve">CS</t>
    </r>
    <r>
      <rPr>
        <sz val="10"/>
        <rFont val="WenQuanYi Zen Hei"/>
        <family val="2"/>
      </rPr>
      <t xml:space="preserve">との会話
</t>
    </r>
    <r>
      <rPr>
        <sz val="10"/>
        <rFont val="Arial"/>
        <family val="0"/>
        <charset val="1"/>
      </rPr>
      <t xml:space="preserve">send_back_date</t>
    </r>
    <r>
      <rPr>
        <sz val="10"/>
        <rFont val="WenQuanYi Zen Hei"/>
        <family val="2"/>
      </rPr>
      <t xml:space="preserve">以降、</t>
    </r>
    <r>
      <rPr>
        <sz val="10"/>
        <rFont val="Arial"/>
        <family val="0"/>
        <charset val="1"/>
      </rPr>
      <t xml:space="preserve">returned_date</t>
    </r>
    <r>
      <rPr>
        <sz val="10"/>
        <rFont val="WenQuanYi Zen Hei"/>
        <family val="2"/>
      </rPr>
      <t xml:space="preserve">以前に購入したお客様の中で、
手元に残したままの状態で「現品購入」と勘違いして購入されたお客様は</t>
    </r>
    <r>
      <rPr>
        <sz val="10"/>
        <rFont val="Arial"/>
        <family val="0"/>
        <charset val="1"/>
      </rPr>
      <t xml:space="preserve">7</t>
    </r>
    <r>
      <rPr>
        <sz val="10"/>
        <rFont val="WenQuanYi Zen Hei"/>
        <family val="2"/>
      </rPr>
      <t xml:space="preserve">名
</t>
    </r>
    <r>
      <rPr>
        <sz val="10"/>
        <rFont val="Arial"/>
        <family val="0"/>
        <charset val="1"/>
      </rPr>
      <t xml:space="preserve">CS</t>
    </r>
    <r>
      <rPr>
        <sz val="10"/>
        <rFont val="WenQuanYi Zen Hei"/>
        <family val="2"/>
      </rPr>
      <t xml:space="preserve">の感覚としては、初動にしては少ないと思っている</t>
    </r>
  </si>
  <si>
    <t xml:space="preserve">SCMG-11</t>
  </si>
  <si>
    <t xml:space="preserve">2021/12/14</t>
  </si>
  <si>
    <t xml:space="preserve">2021/12/15</t>
  </si>
  <si>
    <r>
      <rPr>
        <sz val="10"/>
        <rFont val="Arial"/>
        <family val="0"/>
        <charset val="1"/>
      </rPr>
      <t xml:space="preserve">FC</t>
    </r>
    <r>
      <rPr>
        <sz val="10"/>
        <rFont val="WenQuanYi Zen Hei"/>
        <family val="2"/>
      </rPr>
      <t xml:space="preserve">で発送荷物を翌日分と当日分を取り違えて発送遅延
（１日）</t>
    </r>
  </si>
  <si>
    <r>
      <rPr>
        <sz val="10"/>
        <rFont val="WenQuanYi Zen Hei"/>
        <family val="2"/>
      </rPr>
      <t xml:space="preserve">【概要】
母数は先該当の</t>
    </r>
    <r>
      <rPr>
        <sz val="10"/>
        <rFont val="Arial"/>
        <family val="0"/>
        <charset val="1"/>
      </rPr>
      <t xml:space="preserve">62</t>
    </r>
    <r>
      <rPr>
        <sz val="10"/>
        <rFont val="WenQuanYi Zen Hei"/>
        <family val="2"/>
      </rPr>
      <t xml:space="preserve">件と思われる
【人数 </t>
    </r>
    <r>
      <rPr>
        <sz val="10"/>
        <rFont val="Arial"/>
        <family val="0"/>
        <charset val="1"/>
      </rPr>
      <t xml:space="preserve">or </t>
    </r>
    <r>
      <rPr>
        <sz val="10"/>
        <rFont val="WenQuanYi Zen Hei"/>
        <family val="2"/>
      </rPr>
      <t xml:space="preserve">件数】
最大</t>
    </r>
    <r>
      <rPr>
        <sz val="10"/>
        <rFont val="Arial"/>
        <family val="0"/>
        <charset val="1"/>
      </rPr>
      <t xml:space="preserve">62</t>
    </r>
    <r>
      <rPr>
        <sz val="10"/>
        <rFont val="WenQuanYi Zen Hei"/>
        <family val="2"/>
      </rPr>
      <t xml:space="preserve">名、</t>
    </r>
    <r>
      <rPr>
        <sz val="10"/>
        <rFont val="Arial"/>
        <family val="0"/>
        <charset val="1"/>
      </rPr>
      <t xml:space="preserve">1</t>
    </r>
    <r>
      <rPr>
        <sz val="10"/>
        <rFont val="WenQuanYi Zen Hei"/>
        <family val="2"/>
      </rPr>
      <t xml:space="preserve">件問い合わせあり</t>
    </r>
  </si>
  <si>
    <t xml:space="preserve">オークさんと相談し提示
・ピック後の集積場所を分ける
・出荷ラインを分けて、当日分が終わったことをシステムで確認してから翌日分を出荷するようにする</t>
  </si>
  <si>
    <t xml:space="preserve">SCMG-12</t>
  </si>
  <si>
    <t xml:space="preserve">2021/12/16</t>
  </si>
  <si>
    <t xml:space="preserve">伝票番号重複</t>
  </si>
  <si>
    <r>
      <rPr>
        <sz val="10"/>
        <rFont val="WenQuanYi Zen Hei"/>
        <family val="2"/>
      </rPr>
      <t xml:space="preserve">【概要】
【人数 </t>
    </r>
    <r>
      <rPr>
        <sz val="10"/>
        <rFont val="Arial"/>
        <family val="0"/>
        <charset val="1"/>
      </rPr>
      <t xml:space="preserve">or </t>
    </r>
    <r>
      <rPr>
        <sz val="10"/>
        <rFont val="WenQuanYi Zen Hei"/>
        <family val="2"/>
      </rPr>
      <t xml:space="preserve">件数】
</t>
    </r>
    <r>
      <rPr>
        <sz val="10"/>
        <rFont val="Arial"/>
        <family val="0"/>
        <charset val="1"/>
      </rPr>
      <t xml:space="preserve">48</t>
    </r>
    <r>
      <rPr>
        <sz val="10"/>
        <rFont val="WenQuanYi Zen Hei"/>
        <family val="2"/>
      </rPr>
      <t xml:space="preserve">名</t>
    </r>
  </si>
  <si>
    <t xml:space="preserve">引当実行中に再度ボタン押されても、現在実行中のため受け付けない処理を追加しました</t>
  </si>
  <si>
    <t xml:space="preserve">SCMG-13</t>
  </si>
  <si>
    <t xml:space="preserve">2021/12/17</t>
  </si>
  <si>
    <t xml:space="preserve">2021/12/19</t>
  </si>
  <si>
    <t xml:space="preserve">過去アイテム購入の連携が成功しない</t>
  </si>
  <si>
    <r>
      <rPr>
        <sz val="10"/>
        <rFont val="WenQuanYi Zen Hei"/>
        <family val="2"/>
      </rPr>
      <t xml:space="preserve">【概要】【人数 </t>
    </r>
    <r>
      <rPr>
        <sz val="10"/>
        <rFont val="Arial"/>
        <family val="0"/>
        <charset val="1"/>
      </rPr>
      <t xml:space="preserve">or </t>
    </r>
    <r>
      <rPr>
        <sz val="10"/>
        <rFont val="WenQuanYi Zen Hei"/>
        <family val="2"/>
      </rPr>
      <t xml:space="preserve">件数】
</t>
    </r>
    <r>
      <rPr>
        <sz val="10"/>
        <rFont val="Arial"/>
        <family val="0"/>
        <charset val="1"/>
      </rPr>
      <t xml:space="preserve">12/16 14:00:00 ~ 12/17 13:59:59</t>
    </r>
    <r>
      <rPr>
        <sz val="10"/>
        <rFont val="WenQuanYi Zen Hei"/>
        <family val="2"/>
      </rPr>
      <t xml:space="preserve">に過去アイテム購入を実施した…</t>
    </r>
  </si>
  <si>
    <r>
      <rPr>
        <sz val="10"/>
        <rFont val="WenQuanYi Zen Hei"/>
        <family val="2"/>
      </rPr>
      <t xml:space="preserve">根本原因解決と、発生後の検知できる体制構築
・</t>
    </r>
    <r>
      <rPr>
        <sz val="10"/>
        <rFont val="Arial"/>
        <family val="0"/>
        <charset val="1"/>
      </rPr>
      <t xml:space="preserve">1</t>
    </r>
    <r>
      <rPr>
        <sz val="10"/>
        <rFont val="WenQuanYi Zen Hei"/>
        <family val="2"/>
      </rPr>
      <t xml:space="preserve">件落ちると全部落ちるという道連れで他の連携も出荷指示の対象にならないという事象が起きないようにシステム修正済み（差分で出荷指示する）
・デリバリープロバイダー</t>
    </r>
    <r>
      <rPr>
        <sz val="10"/>
        <rFont val="Arial"/>
        <family val="0"/>
        <charset val="1"/>
      </rPr>
      <t xml:space="preserve">ID</t>
    </r>
    <r>
      <rPr>
        <sz val="10"/>
        <rFont val="WenQuanYi Zen Hei"/>
        <family val="2"/>
      </rPr>
      <t xml:space="preserve">自体をゼロにするのをやめて、無料会員が有料会員になるときにリセットする方向でシステム改修依頼予定（</t>
    </r>
    <r>
      <rPr>
        <sz val="10"/>
        <rFont val="Arial"/>
        <family val="0"/>
        <charset val="1"/>
      </rPr>
      <t xml:space="preserve">1</t>
    </r>
    <r>
      <rPr>
        <sz val="10"/>
        <rFont val="WenQuanYi Zen Hei"/>
        <family val="2"/>
      </rPr>
      <t xml:space="preserve">月案件）</t>
    </r>
  </si>
  <si>
    <t xml:space="preserve">SCMG-14</t>
  </si>
  <si>
    <t xml:space="preserve">スタイリスト指名画面
次回要望画面に遷移できない</t>
  </si>
  <si>
    <r>
      <rPr>
        <sz val="10"/>
        <rFont val="WenQuanYi Zen Hei"/>
        <family val="2"/>
      </rPr>
      <t xml:space="preserve">【概要】
【人数 </t>
    </r>
    <r>
      <rPr>
        <sz val="10"/>
        <rFont val="Arial"/>
        <family val="0"/>
        <charset val="1"/>
      </rPr>
      <t xml:space="preserve">or </t>
    </r>
    <r>
      <rPr>
        <sz val="10"/>
        <rFont val="WenQuanYi Zen Hei"/>
        <family val="2"/>
      </rPr>
      <t xml:space="preserve">件数】</t>
    </r>
  </si>
  <si>
    <t xml:space="preserve">SCMG-15</t>
  </si>
  <si>
    <t xml:space="preserve">2021/12/20</t>
  </si>
  <si>
    <t xml:space="preserve">2021/12/22</t>
  </si>
  <si>
    <r>
      <rPr>
        <sz val="10"/>
        <rFont val="Arial"/>
        <family val="0"/>
        <charset val="1"/>
      </rPr>
      <t xml:space="preserve">AC DB</t>
    </r>
    <r>
      <rPr>
        <sz val="10"/>
        <rFont val="WenQuanYi Zen Hei"/>
        <family val="2"/>
      </rPr>
      <t xml:space="preserve">データ修正ミス</t>
    </r>
  </si>
  <si>
    <r>
      <rPr>
        <sz val="10"/>
        <rFont val="Arial"/>
        <family val="0"/>
        <charset val="1"/>
      </rPr>
      <t xml:space="preserve">172</t>
    </r>
    <r>
      <rPr>
        <sz val="10"/>
        <rFont val="WenQuanYi Zen Hei"/>
        <family val="2"/>
      </rPr>
      <t xml:space="preserve">件</t>
    </r>
  </si>
  <si>
    <t xml:space="preserve">手動対応で急ぎやる案件としては、誰もができるレベルではないので、大元の連携が落ちる原因の排除を優先しました。
そもそもの出荷指示連携後に同梱物の在庫をチェックするというプロセスを是正</t>
  </si>
  <si>
    <t xml:space="preserve">SCMG-17</t>
  </si>
  <si>
    <t xml:space="preserve">2022/02/12</t>
  </si>
  <si>
    <t xml:space="preserve">2022/02/15</t>
  </si>
  <si>
    <r>
      <rPr>
        <sz val="10"/>
        <rFont val="Arial"/>
        <family val="0"/>
        <charset val="1"/>
      </rPr>
      <t xml:space="preserve">2/12</t>
    </r>
    <r>
      <rPr>
        <sz val="10"/>
        <rFont val="WenQuanYi Zen Hei"/>
        <family val="2"/>
      </rPr>
      <t xml:space="preserve">出荷予定分のオーダーが
出荷できていなかった</t>
    </r>
  </si>
  <si>
    <r>
      <rPr>
        <sz val="10"/>
        <rFont val="Arial"/>
        <family val="0"/>
        <charset val="1"/>
      </rPr>
      <t xml:space="preserve">28</t>
    </r>
    <r>
      <rPr>
        <sz val="10"/>
        <rFont val="WenQuanYi Zen Hei"/>
        <family val="2"/>
      </rPr>
      <t xml:space="preserve">名</t>
    </r>
  </si>
  <si>
    <r>
      <rPr>
        <sz val="10"/>
        <rFont val="Arial"/>
        <family val="0"/>
        <charset val="1"/>
      </rPr>
      <t xml:space="preserve">7:00</t>
    </r>
    <r>
      <rPr>
        <sz val="10"/>
        <rFont val="WenQuanYi Zen Hei"/>
        <family val="2"/>
      </rPr>
      <t xml:space="preserve">のバッチ連携の失敗時には
別でアラートをあげられるように改修
土曜日</t>
    </r>
    <r>
      <rPr>
        <sz val="10"/>
        <rFont val="Arial"/>
        <family val="0"/>
        <charset val="1"/>
      </rPr>
      <t xml:space="preserve">(</t>
    </r>
    <r>
      <rPr>
        <sz val="10"/>
        <rFont val="WenQuanYi Zen Hei"/>
        <family val="2"/>
      </rPr>
      <t xml:space="preserve">今後は日祝）の場合、
モールのオペレーションを対応できるエンジニアがいないため、</t>
    </r>
    <r>
      <rPr>
        <sz val="10"/>
        <rFont val="Arial"/>
        <family val="0"/>
        <charset val="1"/>
      </rPr>
      <t xml:space="preserve">billy</t>
    </r>
    <r>
      <rPr>
        <sz val="10"/>
        <rFont val="WenQuanYi Zen Hei"/>
        <family val="2"/>
      </rPr>
      <t xml:space="preserve">さんしかわからない状態からオペたんで対応できるように体制を変更（</t>
    </r>
    <r>
      <rPr>
        <sz val="10"/>
        <rFont val="Arial"/>
        <family val="0"/>
        <charset val="1"/>
      </rPr>
      <t xml:space="preserve">max</t>
    </r>
    <r>
      <rPr>
        <sz val="10"/>
        <rFont val="WenQuanYi Zen Hei"/>
        <family val="2"/>
      </rPr>
      <t xml:space="preserve">さんにお伝え済み）</t>
    </r>
  </si>
  <si>
    <t xml:space="preserve">SCMG-18</t>
  </si>
  <si>
    <t xml:space="preserve">2022/02/10</t>
  </si>
  <si>
    <t xml:space="preserve">2022/02/18</t>
  </si>
  <si>
    <r>
      <rPr>
        <sz val="10"/>
        <rFont val="WenQuanYi Zen Hei"/>
        <family val="2"/>
      </rPr>
      <t xml:space="preserve">エコセール配送遅延</t>
    </r>
    <r>
      <rPr>
        <sz val="10"/>
        <rFont val="Arial"/>
        <family val="0"/>
        <charset val="1"/>
      </rPr>
      <t xml:space="preserve">/</t>
    </r>
    <r>
      <rPr>
        <sz val="10"/>
        <rFont val="WenQuanYi Zen Hei"/>
        <family val="2"/>
      </rPr>
      <t xml:space="preserve">欠品</t>
    </r>
  </si>
  <si>
    <r>
      <rPr>
        <sz val="10"/>
        <rFont val="Arial"/>
        <family val="0"/>
        <charset val="1"/>
      </rPr>
      <t xml:space="preserve">51</t>
    </r>
    <r>
      <rPr>
        <sz val="10"/>
        <rFont val="WenQuanYi Zen Hei"/>
        <family val="2"/>
      </rPr>
      <t xml:space="preserve">名</t>
    </r>
  </si>
  <si>
    <r>
      <rPr>
        <sz val="10"/>
        <rFont val="Arial"/>
        <family val="0"/>
        <charset val="1"/>
      </rPr>
      <t xml:space="preserve">GOto AC</t>
    </r>
    <r>
      <rPr>
        <sz val="10"/>
        <rFont val="WenQuanYi Zen Hei"/>
        <family val="2"/>
      </rPr>
      <t xml:space="preserve">とエコセールを同時にやらない
（そもそも</t>
    </r>
    <r>
      <rPr>
        <sz val="10"/>
        <rFont val="Arial"/>
        <family val="0"/>
        <charset val="1"/>
      </rPr>
      <t xml:space="preserve">SKU</t>
    </r>
    <r>
      <rPr>
        <sz val="10"/>
        <rFont val="WenQuanYi Zen Hei"/>
        <family val="2"/>
      </rPr>
      <t xml:space="preserve">被らせない）
＆
エコセールの個別出荷をフィティング分はコアブレインに送ってしまいコアブレインから個配してもらい、受注管理を片方に寄せる
※内製化の目処は夏ごろ</t>
    </r>
  </si>
  <si>
    <t xml:space="preserve">SCMG-19</t>
  </si>
  <si>
    <t xml:space="preserve">2022/02/28</t>
  </si>
  <si>
    <t xml:space="preserve">2022/02/20</t>
  </si>
  <si>
    <t xml:space="preserve">何らかのバグで出荷指示が出ない</t>
  </si>
  <si>
    <r>
      <rPr>
        <sz val="10"/>
        <rFont val="WenQuanYi Zen Hei"/>
        <family val="2"/>
      </rPr>
      <t xml:space="preserve">実際のお届けのお約束範囲を、</t>
    </r>
    <r>
      <rPr>
        <sz val="10"/>
        <rFont val="Arial"/>
        <family val="0"/>
        <charset val="1"/>
      </rPr>
      <t xml:space="preserve">3</t>
    </r>
    <r>
      <rPr>
        <sz val="10"/>
        <rFont val="WenQuanYi Zen Hei"/>
        <family val="2"/>
      </rPr>
      <t xml:space="preserve">、</t>
    </r>
    <r>
      <rPr>
        <sz val="10"/>
        <rFont val="Arial"/>
        <family val="0"/>
        <charset val="1"/>
      </rPr>
      <t xml:space="preserve">4</t>
    </r>
    <r>
      <rPr>
        <sz val="10"/>
        <rFont val="WenQuanYi Zen Hei"/>
        <family val="2"/>
      </rPr>
      <t xml:space="preserve">日から遅れた件数
</t>
    </r>
    <r>
      <rPr>
        <sz val="10"/>
        <rFont val="Arial"/>
        <family val="0"/>
        <charset val="1"/>
      </rPr>
      <t xml:space="preserve">34</t>
    </r>
    <r>
      <rPr>
        <sz val="10"/>
        <rFont val="WenQuanYi Zen Hei"/>
        <family val="2"/>
      </rPr>
      <t xml:space="preserve">件</t>
    </r>
  </si>
  <si>
    <t xml:space="preserve">一旦バグらしく部分を修正済み
様子見中、出荷波動により見えなくなってるので再現待ち</t>
  </si>
  <si>
    <t xml:space="preserve">SCMG-20</t>
  </si>
  <si>
    <t xml:space="preserve">2022/03/02</t>
  </si>
  <si>
    <t xml:space="preserve">2022/03/05</t>
  </si>
  <si>
    <t xml:space="preserve">スキャッチ分の出荷遅延</t>
  </si>
  <si>
    <r>
      <rPr>
        <sz val="10"/>
        <rFont val="Arial"/>
        <family val="0"/>
        <charset val="1"/>
      </rPr>
      <t xml:space="preserve">58</t>
    </r>
    <r>
      <rPr>
        <sz val="10"/>
        <rFont val="WenQuanYi Zen Hei"/>
        <family val="2"/>
      </rPr>
      <t xml:space="preserve">名</t>
    </r>
  </si>
  <si>
    <r>
      <rPr>
        <sz val="10"/>
        <rFont val="WenQuanYi Zen Hei"/>
        <family val="2"/>
      </rPr>
      <t xml:space="preserve">アクセとスキャッチの連携タイミングの固定化の解除
なぜやっているかは現場が通常配送と混じってるとテレコなどの作業ミスを誘発させる可能性があったためだったが、</t>
    </r>
    <r>
      <rPr>
        <sz val="10"/>
        <rFont val="Arial"/>
        <family val="0"/>
        <charset val="1"/>
      </rPr>
      <t xml:space="preserve">bridge</t>
    </r>
    <r>
      <rPr>
        <sz val="10"/>
        <rFont val="WenQuanYi Zen Hei"/>
        <family val="2"/>
      </rPr>
      <t xml:space="preserve">のピッキングのグループ化の改修で判別できるようにすれあ固定化は解除できる</t>
    </r>
  </si>
  <si>
    <t xml:space="preserve">SCMG-21</t>
  </si>
  <si>
    <t xml:space="preserve">2022/09/01</t>
  </si>
  <si>
    <t xml:space="preserve">2022/04/19</t>
  </si>
  <si>
    <r>
      <rPr>
        <sz val="10"/>
        <rFont val="WenQuanYi Zen Hei"/>
        <family val="2"/>
      </rPr>
      <t xml:space="preserve">入庫せず滞留していた商品がエアクロの商品が</t>
    </r>
    <r>
      <rPr>
        <sz val="10"/>
        <rFont val="Arial"/>
        <family val="0"/>
        <charset val="1"/>
      </rPr>
      <t xml:space="preserve">150</t>
    </r>
    <r>
      <rPr>
        <sz val="10"/>
        <rFont val="WenQuanYi Zen Hei"/>
        <family val="2"/>
      </rPr>
      <t xml:space="preserve">着春日部で見つかった（</t>
    </r>
    <r>
      <rPr>
        <sz val="10"/>
        <rFont val="Arial"/>
        <family val="0"/>
        <charset val="1"/>
      </rPr>
      <t xml:space="preserve">8</t>
    </r>
    <r>
      <rPr>
        <sz val="10"/>
        <rFont val="WenQuanYi Zen Hei"/>
        <family val="2"/>
      </rPr>
      <t xml:space="preserve">ヶ月間）</t>
    </r>
  </si>
  <si>
    <r>
      <rPr>
        <sz val="10"/>
        <rFont val="Arial"/>
        <family val="0"/>
        <charset val="1"/>
      </rPr>
      <t xml:space="preserve">150</t>
    </r>
    <r>
      <rPr>
        <sz val="10"/>
        <rFont val="WenQuanYi Zen Hei"/>
        <family val="2"/>
      </rPr>
      <t xml:space="preserve">着の商品が</t>
    </r>
    <r>
      <rPr>
        <sz val="10"/>
        <rFont val="Arial"/>
        <family val="0"/>
        <charset val="1"/>
      </rPr>
      <t xml:space="preserve">8</t>
    </r>
    <r>
      <rPr>
        <sz val="10"/>
        <rFont val="WenQuanYi Zen Hei"/>
        <family val="2"/>
      </rPr>
      <t xml:space="preserve">ヶ月使えない</t>
    </r>
  </si>
  <si>
    <t xml:space="preserve">引越しの事象別での振り分けミスが発端
なので起きえない事象ではある。現状発注残管理を開始してるので現状のフローであれば見つかるはずです。</t>
  </si>
  <si>
    <t xml:space="preserve">SCMG-22</t>
  </si>
  <si>
    <t xml:space="preserve">2022/04/28</t>
  </si>
  <si>
    <t xml:space="preserve">ささげされておらずシーズンで使えない商品があった</t>
  </si>
  <si>
    <r>
      <rPr>
        <sz val="10"/>
        <rFont val="WenQuanYi Zen Hei"/>
        <family val="2"/>
      </rPr>
      <t xml:space="preserve">現場側の対応
・ささげを行った作業者がささげを完了したらそのお洋服を棚入れする運用に変更し、
棚入れ在庫エリアに、ささげ完了のお洋服を滞留することをなくすことで、未ささげのお洋服が確実にささげエリアに行き、勘違いで、棚入れがおこなられないようにする。また、これを作業者に周知徹底を行う。
・毎週月曜日に</t>
    </r>
    <r>
      <rPr>
        <sz val="10"/>
        <rFont val="Arial"/>
        <family val="0"/>
        <charset val="1"/>
      </rPr>
      <t xml:space="preserve">1wk</t>
    </r>
    <r>
      <rPr>
        <sz val="10"/>
        <rFont val="WenQuanYi Zen Hei"/>
        <family val="2"/>
      </rPr>
      <t xml:space="preserve">前のささげが終わっていない</t>
    </r>
    <r>
      <rPr>
        <sz val="10"/>
        <rFont val="Arial"/>
        <family val="0"/>
        <charset val="1"/>
      </rPr>
      <t xml:space="preserve">SKU</t>
    </r>
    <r>
      <rPr>
        <sz val="10"/>
        <rFont val="WenQuanYi Zen Hei"/>
        <family val="2"/>
      </rPr>
      <t xml:space="preserve">リストをエアクロフォワードメンバーからまさきさんへ連絡し、
…</t>
    </r>
  </si>
  <si>
    <t xml:space="preserve">SCMG-23</t>
  </si>
  <si>
    <t xml:space="preserve">2022/05/30</t>
  </si>
  <si>
    <t xml:space="preserve">エコセールで多数欠品</t>
  </si>
  <si>
    <r>
      <rPr>
        <sz val="10"/>
        <rFont val="Arial"/>
        <family val="0"/>
        <charset val="1"/>
      </rPr>
      <t xml:space="preserve">80</t>
    </r>
    <r>
      <rPr>
        <sz val="10"/>
        <rFont val="WenQuanYi Zen Hei"/>
        <family val="2"/>
      </rPr>
      <t xml:space="preserve">件以上の一部欠品が起きました</t>
    </r>
  </si>
  <si>
    <t xml:space="preserve">他社のプラットフォームに出店するが故に手動で在庫計算をする必要があるのでストアーズを卒業すればそもそも発生し得なくなります。
とはいえ、中規模開発を伴うので直近で再度行う場合は以下を実行します。
エアクロ内でいろいろな施策（無限ワンセレ等々）が走っている状況を全て把握していないとできない考慮不足。
・参照先の在庫データの取得方法をエンジニアにヒアリング（出力方法も特殊）
・在庫に詳しいエンジニアに…</t>
  </si>
  <si>
    <t xml:space="preserve">SCMG-24</t>
  </si>
  <si>
    <t xml:space="preserve">2022/06/02</t>
  </si>
  <si>
    <t xml:space="preserve">配送予定日を間違った内容で自動出荷確定メールが飛んでいる</t>
  </si>
  <si>
    <r>
      <rPr>
        <sz val="10"/>
        <rFont val="Arial"/>
        <family val="0"/>
        <charset val="1"/>
      </rPr>
      <t xml:space="preserve">75</t>
    </r>
    <r>
      <rPr>
        <sz val="10"/>
        <rFont val="WenQuanYi Zen Hei"/>
        <family val="2"/>
      </rPr>
      <t xml:space="preserve">名へのお届け予定日の誤連絡</t>
    </r>
  </si>
  <si>
    <t xml:space="preserve">手動で連携する原因の排除
この開発を今月中に実施、完了予定です。
開発完了までは手動連携時にはチェック項目に出荷日だけでなくお届け予定日も追加、また二名で実施し相互チェックを行います。
※アクセを含むオーダーとスキャッチを指定しているオーダーをまとめて特定の時間連携するをやめます。梱包時のミスや作業優先順序を揃えるためにやってましたが別方法で解決</t>
  </si>
  <si>
    <t xml:space="preserve">SCMG-25</t>
  </si>
  <si>
    <t xml:space="preserve">エコセール出荷：二重配送</t>
  </si>
  <si>
    <r>
      <rPr>
        <sz val="10"/>
        <rFont val="Arial"/>
        <family val="0"/>
        <charset val="1"/>
      </rPr>
      <t xml:space="preserve">16</t>
    </r>
    <r>
      <rPr>
        <sz val="10"/>
        <rFont val="WenQuanYi Zen Hei"/>
        <family val="2"/>
      </rPr>
      <t xml:space="preserve">名のお客様</t>
    </r>
  </si>
  <si>
    <r>
      <rPr>
        <sz val="10"/>
        <rFont val="WenQuanYi Zen Hei"/>
        <family val="2"/>
      </rPr>
      <t xml:space="preserve">①作業フロー整備する　担当：</t>
    </r>
    <r>
      <rPr>
        <sz val="10"/>
        <rFont val="Arial"/>
        <family val="0"/>
        <charset val="1"/>
      </rPr>
      <t xml:space="preserve">Tony Due:6/10
②</t>
    </r>
    <r>
      <rPr>
        <sz val="10"/>
        <rFont val="WenQuanYi Zen Hei"/>
        <family val="2"/>
      </rPr>
      <t xml:space="preserve">次回からエコセールから出荷連携担当者は</t>
    </r>
    <r>
      <rPr>
        <sz val="10"/>
        <rFont val="Arial"/>
        <family val="0"/>
        <charset val="1"/>
      </rPr>
      <t xml:space="preserve">1</t>
    </r>
    <r>
      <rPr>
        <sz val="10"/>
        <rFont val="WenQuanYi Zen Hei"/>
        <family val="2"/>
      </rPr>
      <t xml:space="preserve">名とする　担当：</t>
    </r>
    <r>
      <rPr>
        <sz val="10"/>
        <rFont val="Arial"/>
        <family val="0"/>
        <charset val="1"/>
      </rPr>
      <t xml:space="preserve">Tony Due:6/10
③</t>
    </r>
    <r>
      <rPr>
        <sz val="10"/>
        <rFont val="WenQuanYi Zen Hei"/>
        <family val="2"/>
      </rPr>
      <t xml:space="preserve">次回からエコセールから出荷連携者とは別の</t>
    </r>
    <r>
      <rPr>
        <sz val="10"/>
        <rFont val="Arial"/>
        <family val="0"/>
        <charset val="1"/>
      </rPr>
      <t xml:space="preserve">1</t>
    </r>
    <r>
      <rPr>
        <sz val="10"/>
        <rFont val="WenQuanYi Zen Hei"/>
        <family val="2"/>
      </rPr>
      <t xml:space="preserve">名がストアーズと</t>
    </r>
    <r>
      <rPr>
        <sz val="10"/>
        <rFont val="Arial"/>
        <family val="0"/>
        <charset val="1"/>
      </rPr>
      <t xml:space="preserve">Bridge</t>
    </r>
    <r>
      <rPr>
        <sz val="10"/>
        <rFont val="WenQuanYi Zen Hei"/>
        <family val="2"/>
      </rPr>
      <t xml:space="preserve">の情報が</t>
    </r>
    <r>
      <rPr>
        <sz val="10"/>
        <rFont val="Arial"/>
        <family val="0"/>
        <charset val="1"/>
      </rPr>
      <t xml:space="preserve">1:1</t>
    </r>
    <r>
      <rPr>
        <sz val="10"/>
        <rFont val="WenQuanYi Zen Hei"/>
        <family val="2"/>
      </rPr>
      <t xml:space="preserve">になっているか確認する担当を作る　担当：</t>
    </r>
    <r>
      <rPr>
        <sz val="10"/>
        <rFont val="Arial"/>
        <family val="0"/>
        <charset val="1"/>
      </rPr>
      <t xml:space="preserve">Tony Due:6/10</t>
    </r>
  </si>
  <si>
    <t xml:space="preserve">SCMG-26</t>
  </si>
  <si>
    <t xml:space="preserve">2022/06/14</t>
  </si>
  <si>
    <t xml:space="preserve">安全ピンがついた状態の洋服がお客様へ流出</t>
  </si>
  <si>
    <r>
      <rPr>
        <sz val="10"/>
        <rFont val="Arial"/>
        <family val="0"/>
        <charset val="1"/>
      </rPr>
      <t xml:space="preserve">1</t>
    </r>
    <r>
      <rPr>
        <sz val="10"/>
        <rFont val="WenQuanYi Zen Hei"/>
        <family val="2"/>
      </rPr>
      <t xml:space="preserve">名のお客様</t>
    </r>
  </si>
  <si>
    <r>
      <rPr>
        <sz val="10"/>
        <rFont val="WenQuanYi Zen Hei"/>
        <family val="2"/>
      </rPr>
      <t xml:space="preserve">①お客様</t>
    </r>
    <r>
      <rPr>
        <sz val="10"/>
        <rFont val="Arial"/>
        <family val="0"/>
        <charset val="1"/>
      </rPr>
      <t xml:space="preserve">FAQ</t>
    </r>
    <r>
      <rPr>
        <sz val="10"/>
        <rFont val="WenQuanYi Zen Hei"/>
        <family val="2"/>
      </rPr>
      <t xml:space="preserve">の更新（安全ピン使わないでのお願い）
②荷受・</t>
    </r>
    <r>
      <rPr>
        <sz val="10"/>
        <rFont val="Arial"/>
        <family val="0"/>
        <charset val="1"/>
      </rPr>
      <t xml:space="preserve">CL</t>
    </r>
    <r>
      <rPr>
        <sz val="10"/>
        <rFont val="WenQuanYi Zen Hei"/>
        <family val="2"/>
      </rPr>
      <t xml:space="preserve">・検品・リペア・・どの工程でも安全ピンに気づいたタイミングで取り外す</t>
    </r>
    <r>
      <rPr>
        <sz val="10"/>
        <rFont val="Arial"/>
        <family val="0"/>
        <charset val="1"/>
      </rPr>
      <t xml:space="preserve">OP
→ </t>
    </r>
    <r>
      <rPr>
        <sz val="10"/>
        <rFont val="WenQuanYi Zen Hei"/>
        <family val="2"/>
      </rPr>
      <t xml:space="preserve">いま、この認識がない可能性ある
→ 基準書（ドキュメント）に落とし込んで展開
③検品強化
④スポット外注時、依頼先に重要事項として安全ピン（針）の流出防止を伝える＝基準書の展開
＜対応状況＞
①</t>
    </r>
    <r>
      <rPr>
        <sz val="10"/>
        <rFont val="Arial"/>
        <family val="0"/>
        <charset val="1"/>
      </rPr>
      <t xml:space="preserve">6/22DONE</t>
    </r>
  </si>
  <si>
    <t xml:space="preserve">SCMG-27</t>
  </si>
  <si>
    <t xml:space="preserve">2022/09/23</t>
  </si>
  <si>
    <t xml:space="preserve">2022/09/30</t>
  </si>
  <si>
    <r>
      <rPr>
        <sz val="10"/>
        <rFont val="Arial"/>
        <family val="0"/>
        <charset val="1"/>
      </rPr>
      <t xml:space="preserve">Bridge</t>
    </r>
    <r>
      <rPr>
        <sz val="10"/>
        <rFont val="WenQuanYi Zen Hei"/>
        <family val="2"/>
      </rPr>
      <t xml:space="preserve">停止による過去アイテム購入連携漏れ</t>
    </r>
  </si>
  <si>
    <r>
      <rPr>
        <sz val="10"/>
        <rFont val="Arial"/>
        <family val="0"/>
        <charset val="1"/>
      </rPr>
      <t xml:space="preserve">100</t>
    </r>
    <r>
      <rPr>
        <sz val="10"/>
        <rFont val="WenQuanYi Zen Hei"/>
        <family val="2"/>
      </rPr>
      <t xml:space="preserve">名</t>
    </r>
  </si>
  <si>
    <r>
      <rPr>
        <sz val="10"/>
        <rFont val="Arial"/>
        <family val="0"/>
        <charset val="1"/>
      </rPr>
      <t xml:space="preserve">1,2</t>
    </r>
    <r>
      <rPr>
        <sz val="10"/>
        <rFont val="WenQuanYi Zen Hei"/>
        <family val="2"/>
      </rPr>
      <t xml:space="preserve">の出荷処理の</t>
    </r>
    <r>
      <rPr>
        <sz val="10"/>
        <rFont val="Arial"/>
        <family val="0"/>
        <charset val="1"/>
      </rPr>
      <t xml:space="preserve">1</t>
    </r>
    <r>
      <rPr>
        <sz val="10"/>
        <rFont val="WenQuanYi Zen Hei"/>
        <family val="2"/>
      </rPr>
      <t xml:space="preserve">は通過して</t>
    </r>
    <r>
      <rPr>
        <sz val="10"/>
        <rFont val="Arial"/>
        <family val="0"/>
        <charset val="1"/>
      </rPr>
      <t xml:space="preserve">2
※PDG</t>
    </r>
    <r>
      <rPr>
        <sz val="10"/>
        <rFont val="WenQuanYi Zen Hei"/>
        <family val="2"/>
      </rPr>
      <t xml:space="preserve">対応</t>
    </r>
  </si>
  <si>
    <t xml:space="preserve">SCMG-28</t>
  </si>
  <si>
    <t xml:space="preserve">2022/10/10</t>
  </si>
  <si>
    <r>
      <rPr>
        <sz val="10"/>
        <rFont val="Arial"/>
        <family val="0"/>
        <charset val="1"/>
      </rPr>
      <t xml:space="preserve">fitting</t>
    </r>
    <r>
      <rPr>
        <sz val="10"/>
        <rFont val="WenQuanYi Zen Hei"/>
        <family val="2"/>
      </rPr>
      <t xml:space="preserve">出荷上限設定漏れによる出荷遅延</t>
    </r>
  </si>
  <si>
    <r>
      <rPr>
        <sz val="10"/>
        <rFont val="Arial"/>
        <family val="0"/>
        <charset val="1"/>
      </rPr>
      <t xml:space="preserve">5</t>
    </r>
    <r>
      <rPr>
        <sz val="10"/>
        <rFont val="WenQuanYi Zen Hei"/>
        <family val="2"/>
      </rPr>
      <t xml:space="preserve">名</t>
    </r>
  </si>
  <si>
    <r>
      <rPr>
        <sz val="10"/>
        <rFont val="WenQuanYi Zen Hei"/>
        <family val="2"/>
      </rPr>
      <t xml:space="preserve">開発によって、デフォルトを曜日に関わらず</t>
    </r>
    <r>
      <rPr>
        <sz val="10"/>
        <rFont val="Arial"/>
        <family val="0"/>
        <charset val="1"/>
      </rPr>
      <t xml:space="preserve">0</t>
    </r>
    <r>
      <rPr>
        <sz val="10"/>
        <rFont val="WenQuanYi Zen Hei"/>
        <family val="2"/>
      </rPr>
      <t xml:space="preserve">にする。</t>
    </r>
  </si>
  <si>
    <t xml:space="preserve">SCMG-29</t>
  </si>
  <si>
    <t xml:space="preserve">2022/09/06</t>
  </si>
  <si>
    <t xml:space="preserve">2022/10/13</t>
  </si>
  <si>
    <t xml:space="preserve">再選定ボタンの押し忘れによる出荷遅延</t>
  </si>
  <si>
    <r>
      <rPr>
        <sz val="10"/>
        <rFont val="Arial"/>
        <family val="0"/>
        <charset val="1"/>
      </rPr>
      <t xml:space="preserve">Bridge</t>
    </r>
    <r>
      <rPr>
        <sz val="10"/>
        <rFont val="WenQuanYi Zen Hei"/>
        <family val="2"/>
      </rPr>
      <t xml:space="preserve">上でオーダーキャンセルする時に
キャンセルと同時に再選定を依頼できる仕様に
</t>
    </r>
    <r>
      <rPr>
        <sz val="10"/>
        <rFont val="Arial"/>
        <family val="0"/>
        <charset val="1"/>
      </rPr>
      <t xml:space="preserve">Bridge</t>
    </r>
    <r>
      <rPr>
        <sz val="10"/>
        <rFont val="WenQuanYi Zen Hei"/>
        <family val="2"/>
      </rPr>
      <t xml:space="preserve">と</t>
    </r>
    <r>
      <rPr>
        <sz val="10"/>
        <rFont val="Arial"/>
        <family val="0"/>
        <charset val="1"/>
      </rPr>
      <t xml:space="preserve">DB</t>
    </r>
    <r>
      <rPr>
        <sz val="10"/>
        <rFont val="WenQuanYi Zen Hei"/>
        <family val="2"/>
      </rPr>
      <t xml:space="preserve">の仕様変更を行う</t>
    </r>
  </si>
  <si>
    <t xml:space="preserve">SCMG-30</t>
  </si>
  <si>
    <t xml:space="preserve">2022/04/01</t>
  </si>
  <si>
    <t xml:space="preserve">2022/11/11</t>
  </si>
  <si>
    <t xml:space="preserve">枠番割り付けミスによる他社との重複発番</t>
  </si>
  <si>
    <r>
      <rPr>
        <sz val="10"/>
        <rFont val="Arial"/>
        <family val="0"/>
        <charset val="1"/>
      </rPr>
      <t xml:space="preserve">1164</t>
    </r>
    <r>
      <rPr>
        <sz val="10"/>
        <rFont val="WenQuanYi Zen Hei"/>
        <family val="2"/>
      </rPr>
      <t xml:space="preserve">名の追跡情報が正しい情報と違う情報が混同した表示に</t>
    </r>
  </si>
  <si>
    <r>
      <rPr>
        <sz val="10"/>
        <rFont val="WenQuanYi Zen Hei"/>
        <family val="2"/>
      </rPr>
      <t xml:space="preserve">本来動くはずのループ処理を実際に動くように改修※</t>
    </r>
    <r>
      <rPr>
        <sz val="10"/>
        <rFont val="Arial"/>
        <family val="0"/>
        <charset val="1"/>
      </rPr>
      <t xml:space="preserve">PDG</t>
    </r>
    <r>
      <rPr>
        <sz val="10"/>
        <rFont val="WenQuanYi Zen Hei"/>
        <family val="2"/>
      </rPr>
      <t xml:space="preserve">対応</t>
    </r>
  </si>
  <si>
    <t xml:space="preserve">SCMG-31</t>
  </si>
  <si>
    <t xml:space="preserve">2022/11/18</t>
  </si>
  <si>
    <t xml:space="preserve">ヤマトサービスレベルマスタの更新ミス</t>
  </si>
  <si>
    <r>
      <rPr>
        <sz val="10"/>
        <rFont val="Arial"/>
        <family val="0"/>
        <charset val="1"/>
      </rPr>
      <t xml:space="preserve">700</t>
    </r>
    <r>
      <rPr>
        <sz val="10"/>
        <rFont val="WenQuanYi Zen Hei"/>
        <family val="2"/>
      </rPr>
      <t xml:space="preserve">名程度</t>
    </r>
  </si>
  <si>
    <r>
      <rPr>
        <sz val="10"/>
        <rFont val="WenQuanYi Zen Hei"/>
        <family val="2"/>
      </rPr>
      <t xml:space="preserve">暫定対応がそのまま恒久対応となります。※</t>
    </r>
    <r>
      <rPr>
        <sz val="10"/>
        <rFont val="Arial"/>
        <family val="0"/>
        <charset val="1"/>
      </rPr>
      <t xml:space="preserve">PDG</t>
    </r>
    <r>
      <rPr>
        <sz val="10"/>
        <rFont val="WenQuanYi Zen Hei"/>
        <family val="2"/>
      </rPr>
      <t xml:space="preserve">対応すみ</t>
    </r>
  </si>
  <si>
    <t xml:space="preserve">SCMG-32</t>
  </si>
  <si>
    <t xml:space="preserve">2022/12/19</t>
  </si>
  <si>
    <r>
      <rPr>
        <sz val="10"/>
        <rFont val="WenQuanYi Zen Hei"/>
        <family val="2"/>
      </rPr>
      <t xml:space="preserve">佐川集荷の</t>
    </r>
    <r>
      <rPr>
        <sz val="10"/>
        <rFont val="Arial"/>
        <family val="0"/>
        <charset val="1"/>
      </rPr>
      <t xml:space="preserve">CSV</t>
    </r>
    <r>
      <rPr>
        <sz val="10"/>
        <rFont val="WenQuanYi Zen Hei"/>
        <family val="2"/>
      </rPr>
      <t xml:space="preserve">が佐川に送れていない</t>
    </r>
  </si>
  <si>
    <r>
      <rPr>
        <sz val="10"/>
        <rFont val="Arial"/>
        <family val="0"/>
        <charset val="1"/>
      </rPr>
      <t xml:space="preserve">40</t>
    </r>
    <r>
      <rPr>
        <sz val="10"/>
        <rFont val="WenQuanYi Zen Hei"/>
        <family val="2"/>
      </rPr>
      <t xml:space="preserve">名</t>
    </r>
  </si>
  <si>
    <r>
      <rPr>
        <sz val="10"/>
        <rFont val="WenQuanYi Zen Hei"/>
        <family val="2"/>
      </rPr>
      <t xml:space="preserve">落ちる原因と思われる内部</t>
    </r>
    <r>
      <rPr>
        <sz val="10"/>
        <rFont val="Arial"/>
        <family val="0"/>
        <charset val="1"/>
      </rPr>
      <t xml:space="preserve">SFTP</t>
    </r>
    <r>
      <rPr>
        <sz val="10"/>
        <rFont val="WenQuanYi Zen Hei"/>
        <family val="2"/>
      </rPr>
      <t xml:space="preserve">のバージョンアップデート＆現在フェイタルチャンネルで上がっている通知は過去の落ちた場合の再起動通知（メンションなし）なので実際落ちてるか不明な部分があるので実際に落ちてることが確認できるように通知をするように変更、また現在手動で対応ができないためオペたんが動かない土日でも対応できるように</t>
    </r>
    <r>
      <rPr>
        <sz val="10"/>
        <rFont val="Arial"/>
        <family val="0"/>
        <charset val="1"/>
      </rPr>
      <t xml:space="preserve">SCM</t>
    </r>
    <r>
      <rPr>
        <sz val="10"/>
        <rFont val="WenQuanYi Zen Hei"/>
        <family val="2"/>
      </rPr>
      <t xml:space="preserve">に</t>
    </r>
    <r>
      <rPr>
        <sz val="10"/>
        <rFont val="Arial"/>
        <family val="0"/>
        <charset val="1"/>
      </rPr>
      <t xml:space="preserve">S3</t>
    </r>
    <r>
      <rPr>
        <sz val="10"/>
        <rFont val="WenQuanYi Zen Hei"/>
        <family val="2"/>
      </rPr>
      <t xml:space="preserve">への接続権限の付与で対応できるようにする</t>
    </r>
  </si>
  <si>
    <t xml:space="preserve">SCMG-33</t>
  </si>
  <si>
    <t xml:space="preserve">2023/01/12</t>
  </si>
  <si>
    <r>
      <rPr>
        <sz val="10"/>
        <rFont val="Arial"/>
        <family val="0"/>
        <charset val="1"/>
      </rPr>
      <t xml:space="preserve">GOTOAC</t>
    </r>
    <r>
      <rPr>
        <sz val="10"/>
        <rFont val="WenQuanYi Zen Hei"/>
        <family val="2"/>
      </rPr>
      <t xml:space="preserve">ミスで在庫欠品、再選定が数十件発生</t>
    </r>
  </si>
  <si>
    <r>
      <rPr>
        <sz val="10"/>
        <rFont val="WenQuanYi Zen Hei"/>
        <family val="2"/>
      </rPr>
      <t xml:space="preserve">選定</t>
    </r>
    <r>
      <rPr>
        <sz val="10"/>
        <rFont val="Arial"/>
        <family val="0"/>
        <charset val="1"/>
      </rPr>
      <t xml:space="preserve">53</t>
    </r>
    <r>
      <rPr>
        <sz val="10"/>
        <rFont val="WenQuanYi Zen Hei"/>
        <family val="2"/>
      </rPr>
      <t xml:space="preserve">件なので、コスト</t>
    </r>
    <r>
      <rPr>
        <sz val="10"/>
        <rFont val="Arial"/>
        <family val="0"/>
        <charset val="1"/>
      </rPr>
      <t xml:space="preserve">2</t>
    </r>
    <r>
      <rPr>
        <sz val="10"/>
        <rFont val="WenQuanYi Zen Hei"/>
        <family val="2"/>
      </rPr>
      <t xml:space="preserve">万円超で発生</t>
    </r>
  </si>
  <si>
    <t xml:space="preserve">ショップ切り替えを追加と削除を一回の作業でできるようにシステム改修予定
チケットはもう上がっている状態です</t>
  </si>
  <si>
    <t xml:space="preserve">SCMG-34</t>
  </si>
  <si>
    <t xml:space="preserve">2023/03/14</t>
  </si>
  <si>
    <t xml:space="preserve">2023/03/15</t>
  </si>
  <si>
    <t xml:space="preserve">スマリ同梱物設定ミス</t>
  </si>
  <si>
    <r>
      <rPr>
        <sz val="10"/>
        <rFont val="Arial"/>
        <family val="0"/>
        <charset val="1"/>
      </rPr>
      <t xml:space="preserve">509</t>
    </r>
    <r>
      <rPr>
        <sz val="10"/>
        <rFont val="WenQuanYi Zen Hei"/>
        <family val="2"/>
      </rPr>
      <t xml:space="preserve">名</t>
    </r>
  </si>
  <si>
    <t xml:space="preserve">現在、コンソールの同梱設定ページでの対象者の選択プルダウンは、「全会員」がデフォルトとなっており、プルダウンを選択しなくてもデフォルト設定のまま同梱設定が完了できる仕様となっている。
対策として、このプルダウンのデフォルトを解除し、「全会員」または「特定のオーダー」を設定者が都度選択して設定することを必須とする改修を行う。</t>
  </si>
  <si>
    <t xml:space="preserve">SCMG-35</t>
  </si>
  <si>
    <r>
      <rPr>
        <sz val="10"/>
        <rFont val="WenQuanYi Zen Hei"/>
        <family val="2"/>
      </rPr>
      <t xml:space="preserve">ピッきんエラーによる</t>
    </r>
    <r>
      <rPr>
        <sz val="10"/>
        <rFont val="Arial"/>
        <family val="0"/>
        <charset val="1"/>
      </rPr>
      <t xml:space="preserve">33</t>
    </r>
    <r>
      <rPr>
        <sz val="10"/>
        <rFont val="WenQuanYi Zen Hei"/>
        <family val="2"/>
      </rPr>
      <t xml:space="preserve">件の出荷遅延と、出荷完了メールでの誤情報の送信</t>
    </r>
  </si>
  <si>
    <r>
      <rPr>
        <sz val="10"/>
        <rFont val="Arial"/>
        <family val="0"/>
        <charset val="1"/>
      </rPr>
      <t xml:space="preserve">33</t>
    </r>
    <r>
      <rPr>
        <sz val="10"/>
        <rFont val="WenQuanYi Zen Hei"/>
        <family val="2"/>
      </rPr>
      <t xml:space="preserve">件のオーダー</t>
    </r>
  </si>
  <si>
    <t xml:space="preserve">連携された時点でお届け日が確定するのではなく、出荷実績取得の時点の出荷日を起算としてお届け日が決定する仕様とし、出荷完了メールもそれに倣う形とする。</t>
  </si>
  <si>
    <t xml:space="preserve">SCMG-36</t>
  </si>
  <si>
    <t xml:space="preserve">2023/03/20</t>
  </si>
  <si>
    <t xml:space="preserve">SCMG-37</t>
  </si>
  <si>
    <t xml:space="preserve">2023/04/03</t>
  </si>
  <si>
    <r>
      <rPr>
        <sz val="10"/>
        <rFont val="WenQuanYi Zen Hei"/>
        <family val="2"/>
      </rPr>
      <t xml:space="preserve">オーク物流様へ展開している作業数量の</t>
    </r>
    <r>
      <rPr>
        <sz val="10"/>
        <rFont val="Arial"/>
        <family val="0"/>
        <charset val="1"/>
      </rPr>
      <t xml:space="preserve">7</t>
    </r>
    <r>
      <rPr>
        <sz val="10"/>
        <rFont val="WenQuanYi Zen Hei"/>
        <family val="2"/>
      </rPr>
      <t xml:space="preserve">日前予測が展開されていなかった</t>
    </r>
  </si>
  <si>
    <r>
      <rPr>
        <sz val="10"/>
        <rFont val="Arial"/>
        <family val="0"/>
        <charset val="1"/>
      </rPr>
      <t xml:space="preserve">①GAS</t>
    </r>
    <r>
      <rPr>
        <sz val="10"/>
        <rFont val="WenQuanYi Zen Hei"/>
        <family val="2"/>
      </rPr>
      <t xml:space="preserve">の編集権限の引き継ぎ
　</t>
    </r>
    <r>
      <rPr>
        <sz val="10"/>
        <rFont val="Arial"/>
        <family val="0"/>
        <charset val="1"/>
      </rPr>
      <t xml:space="preserve">(do→jedi</t>
    </r>
    <r>
      <rPr>
        <sz val="10"/>
        <rFont val="WenQuanYi Zen Hei"/>
        <family val="2"/>
      </rPr>
      <t xml:space="preserve">へ）
②</t>
    </r>
    <r>
      <rPr>
        <sz val="10"/>
        <rFont val="Arial"/>
        <family val="0"/>
        <charset val="1"/>
      </rPr>
      <t xml:space="preserve">7</t>
    </r>
    <r>
      <rPr>
        <sz val="10"/>
        <rFont val="WenQuanYi Zen Hei"/>
        <family val="2"/>
      </rPr>
      <t xml:space="preserve">日前の日付の</t>
    </r>
    <r>
      <rPr>
        <sz val="10"/>
        <rFont val="Arial"/>
        <family val="0"/>
        <charset val="1"/>
      </rPr>
      <t xml:space="preserve">AM9:00</t>
    </r>
    <r>
      <rPr>
        <sz val="10"/>
        <rFont val="WenQuanYi Zen Hei"/>
        <family val="2"/>
      </rPr>
      <t xml:space="preserve">に</t>
    </r>
    <r>
      <rPr>
        <sz val="10"/>
        <rFont val="Arial"/>
        <family val="0"/>
        <charset val="1"/>
      </rPr>
      <t xml:space="preserve">7</t>
    </r>
    <r>
      <rPr>
        <sz val="10"/>
        <rFont val="WenQuanYi Zen Hei"/>
        <family val="2"/>
      </rPr>
      <t xml:space="preserve">日前予測値を</t>
    </r>
    <r>
      <rPr>
        <sz val="10"/>
        <rFont val="Arial"/>
        <family val="0"/>
        <charset val="1"/>
      </rPr>
      <t xml:space="preserve">slack</t>
    </r>
    <r>
      <rPr>
        <sz val="10"/>
        <rFont val="WenQuanYi Zen Hei"/>
        <family val="2"/>
      </rPr>
      <t xml:space="preserve">でアラート吐き出しをし、両者合意の数値の認識合わせを実施
　変更したい場合はそのスラックチャンネル上でオーク様とやりとりをした上で数値変更を実施</t>
    </r>
  </si>
  <si>
    <t xml:space="preserve">SCMG-38</t>
  </si>
  <si>
    <t xml:space="preserve">2023/02/28</t>
  </si>
  <si>
    <t xml:space="preserve">水質汚濁防止法への対応漏れ（特定施設の申請漏れ）</t>
  </si>
  <si>
    <t xml:space="preserve">営業停止処分となった場合は、返却アイテムのクリーニング＝在庫化が間に合わず、選定遅延等のリスクがある</t>
  </si>
  <si>
    <r>
      <rPr>
        <sz val="10"/>
        <rFont val="WenQuanYi Zen Hei"/>
        <family val="2"/>
      </rPr>
      <t xml:space="preserve">新規事業およびそれに類するプロジェクトの際は、</t>
    </r>
    <r>
      <rPr>
        <sz val="10"/>
        <rFont val="Arial"/>
        <family val="0"/>
        <charset val="1"/>
      </rPr>
      <t xml:space="preserve">WBS</t>
    </r>
    <r>
      <rPr>
        <sz val="10"/>
        <rFont val="WenQuanYi Zen Hei"/>
        <family val="2"/>
      </rPr>
      <t xml:space="preserve">の中に必ず「関連法令の洗い出し」をタスクとして入れるものとする。
確認先としては、</t>
    </r>
    <r>
      <rPr>
        <sz val="10"/>
        <rFont val="Arial"/>
        <family val="0"/>
        <charset val="1"/>
      </rPr>
      <t xml:space="preserve">GVA</t>
    </r>
    <r>
      <rPr>
        <sz val="10"/>
        <rFont val="WenQuanYi Zen Hei"/>
        <family val="2"/>
      </rPr>
      <t xml:space="preserve">さんや、事業を行う場所の行政（市区町村役所）に問い合わせ。
</t>
    </r>
    <r>
      <rPr>
        <sz val="10"/>
        <rFont val="Arial"/>
        <family val="0"/>
        <charset val="1"/>
      </rPr>
      <t xml:space="preserve">airCloset Mall</t>
    </r>
    <r>
      <rPr>
        <sz val="10"/>
        <rFont val="WenQuanYi Zen Hei"/>
        <family val="2"/>
      </rPr>
      <t xml:space="preserve">に関しては、新規商品を取り扱う際が対象となる。
取引先（仕入先）様との契約書に「当該商品を扱うにあたって関連する法令があるか？ある場合は開示してください」という内容を盛り込…</t>
    </r>
  </si>
  <si>
    <t xml:space="preserve">SCMG-39</t>
  </si>
  <si>
    <t xml:space="preserve">2023/06/03</t>
  </si>
  <si>
    <t xml:space="preserve">2023/06/04</t>
  </si>
  <si>
    <t xml:space="preserve">オーク物流様　出荷締め忘れ</t>
  </si>
  <si>
    <r>
      <rPr>
        <sz val="10"/>
        <rFont val="Arial"/>
        <family val="0"/>
        <charset val="1"/>
      </rPr>
      <t xml:space="preserve">1235</t>
    </r>
    <r>
      <rPr>
        <sz val="10"/>
        <rFont val="WenQuanYi Zen Hei"/>
        <family val="2"/>
      </rPr>
      <t xml:space="preserve">名</t>
    </r>
  </si>
  <si>
    <r>
      <rPr>
        <sz val="10"/>
        <rFont val="WenQuanYi Zen Hei"/>
        <family val="2"/>
      </rPr>
      <t xml:space="preserve">オーク様
シフト表を元に担当者を決定しておく、且つ担当者の限定をする。
担当：沢田、平山、有賀の</t>
    </r>
    <r>
      <rPr>
        <sz val="10"/>
        <rFont val="Arial"/>
        <family val="0"/>
        <charset val="1"/>
      </rPr>
      <t xml:space="preserve">3</t>
    </r>
    <r>
      <rPr>
        <sz val="10"/>
        <rFont val="WenQuanYi Zen Hei"/>
        <family val="2"/>
      </rPr>
      <t xml:space="preserve">名の交代制で行うが、基本は社員である沢田</t>
    </r>
    <r>
      <rPr>
        <sz val="10"/>
        <rFont val="Arial"/>
        <family val="0"/>
        <charset val="1"/>
      </rPr>
      <t xml:space="preserve">or</t>
    </r>
    <r>
      <rPr>
        <sz val="10"/>
        <rFont val="WenQuanYi Zen Hei"/>
        <family val="2"/>
      </rPr>
      <t xml:space="preserve">平山が担当
また、あらかじめ社用携帯・平山＋沢田携帯で、締め処理を実行する時間を知らせるアラームを大きめの音量で毎日</t>
    </r>
    <r>
      <rPr>
        <sz val="10"/>
        <rFont val="Arial"/>
        <family val="0"/>
        <charset val="1"/>
      </rPr>
      <t xml:space="preserve">15:30+17</t>
    </r>
    <r>
      <rPr>
        <sz val="10"/>
        <rFont val="WenQuanYi Zen Hei"/>
        <family val="2"/>
      </rPr>
      <t xml:space="preserve">：</t>
    </r>
    <r>
      <rPr>
        <sz val="10"/>
        <rFont val="Arial"/>
        <family val="0"/>
        <charset val="1"/>
      </rPr>
      <t xml:space="preserve">30</t>
    </r>
    <r>
      <rPr>
        <sz val="10"/>
        <rFont val="WenQuanYi Zen Hei"/>
        <family val="2"/>
      </rPr>
      <t xml:space="preserve">にセットしておく。
締め処理担当者はアラームが鳴ったら、たとえ担当者がどんな作業をしていても中断し、すみやかに締め処理の…</t>
    </r>
  </si>
  <si>
    <t xml:space="preserve">SCMG-40</t>
  </si>
  <si>
    <t xml:space="preserve">2023/06/05</t>
  </si>
  <si>
    <r>
      <rPr>
        <sz val="10"/>
        <rFont val="Arial"/>
        <family val="0"/>
        <charset val="1"/>
      </rPr>
      <t xml:space="preserve">126</t>
    </r>
    <r>
      <rPr>
        <sz val="10"/>
        <rFont val="WenQuanYi Zen Hei"/>
        <family val="2"/>
      </rPr>
      <t xml:space="preserve">件</t>
    </r>
  </si>
  <si>
    <t xml:space="preserve">SCMG-41</t>
  </si>
  <si>
    <t xml:space="preserve">2023/06/06</t>
  </si>
  <si>
    <r>
      <rPr>
        <sz val="10"/>
        <rFont val="WenQuanYi Zen Hei"/>
        <family val="2"/>
      </rPr>
      <t xml:space="preserve">スキャッチ</t>
    </r>
    <r>
      <rPr>
        <sz val="10"/>
        <rFont val="Arial"/>
        <family val="0"/>
        <charset val="1"/>
      </rPr>
      <t xml:space="preserve">(CBcloud)</t>
    </r>
    <r>
      <rPr>
        <sz val="10"/>
        <rFont val="WenQuanYi Zen Hei"/>
        <family val="2"/>
      </rPr>
      <t xml:space="preserve">の配送遅延</t>
    </r>
  </si>
  <si>
    <r>
      <rPr>
        <sz val="10"/>
        <rFont val="Arial"/>
        <family val="0"/>
        <charset val="1"/>
      </rPr>
      <t xml:space="preserve">13</t>
    </r>
    <r>
      <rPr>
        <sz val="10"/>
        <rFont val="WenQuanYi Zen Hei"/>
        <family val="2"/>
      </rPr>
      <t xml:space="preserve">名（配送遅延が発生し、</t>
    </r>
    <r>
      <rPr>
        <sz val="10"/>
        <rFont val="Arial"/>
        <family val="0"/>
        <charset val="1"/>
      </rPr>
      <t xml:space="preserve">AC CS</t>
    </r>
    <r>
      <rPr>
        <sz val="10"/>
        <rFont val="WenQuanYi Zen Hei"/>
        <family val="2"/>
      </rPr>
      <t xml:space="preserve">に連絡を頂いたお客様</t>
    </r>
    <r>
      <rPr>
        <sz val="10"/>
        <rFont val="Arial"/>
        <family val="0"/>
        <charset val="1"/>
      </rPr>
      <t xml:space="preserve">13</t>
    </r>
    <r>
      <rPr>
        <sz val="10"/>
        <rFont val="WenQuanYi Zen Hei"/>
        <family val="2"/>
      </rPr>
      <t xml:space="preserve">名）</t>
    </r>
  </si>
  <si>
    <r>
      <rPr>
        <sz val="10"/>
        <rFont val="Arial"/>
        <family val="0"/>
        <charset val="1"/>
      </rPr>
      <t xml:space="preserve">※6/1~</t>
    </r>
    <r>
      <rPr>
        <sz val="10"/>
        <rFont val="WenQuanYi Zen Hei"/>
        <family val="2"/>
      </rPr>
      <t xml:space="preserve">から発生したこ本事象は、</t>
    </r>
    <r>
      <rPr>
        <sz val="10"/>
        <rFont val="Arial"/>
        <family val="0"/>
        <charset val="1"/>
      </rPr>
      <t xml:space="preserve">6/12</t>
    </r>
    <r>
      <rPr>
        <sz val="10"/>
        <rFont val="WenQuanYi Zen Hei"/>
        <family val="2"/>
      </rPr>
      <t xml:space="preserve">に収束している。
今回のトラブルは合併に際しての初期エラーであることと、状況をヒアリングした結果、真摯な対応であり改善が見られているため、経過観測を対策とする。今回の問題点のもう一つが事象の発覚が遅れたことがあるため、これは</t>
    </r>
    <r>
      <rPr>
        <sz val="10"/>
        <rFont val="Arial"/>
        <family val="0"/>
        <charset val="1"/>
      </rPr>
      <t xml:space="preserve">CBcloud</t>
    </r>
    <r>
      <rPr>
        <sz val="10"/>
        <rFont val="WenQuanYi Zen Hei"/>
        <family val="2"/>
      </rPr>
      <t xml:space="preserve">様との連絡フローの構築を行うことで再発防止とする。
◎恒久対策
①</t>
    </r>
    <r>
      <rPr>
        <sz val="10"/>
        <rFont val="Arial"/>
        <family val="0"/>
        <charset val="1"/>
      </rPr>
      <t xml:space="preserve">CBcloud</t>
    </r>
    <r>
      <rPr>
        <sz val="10"/>
        <rFont val="WenQuanYi Zen Hei"/>
        <family val="2"/>
      </rPr>
      <t xml:space="preserve">様に原因と対策の報告の提出依頼及び内容の…</t>
    </r>
  </si>
  <si>
    <t xml:space="preserve">SCMG-42</t>
  </si>
  <si>
    <t xml:space="preserve">2023/08/05</t>
  </si>
  <si>
    <t xml:space="preserve">ヤマト出荷データアップロードができない</t>
  </si>
  <si>
    <r>
      <rPr>
        <sz val="10"/>
        <rFont val="Arial"/>
        <family val="0"/>
        <charset val="1"/>
      </rPr>
      <t xml:space="preserve">332</t>
    </r>
    <r>
      <rPr>
        <sz val="10"/>
        <rFont val="WenQuanYi Zen Hei"/>
        <family val="2"/>
      </rPr>
      <t xml:space="preserve">名</t>
    </r>
  </si>
  <si>
    <r>
      <rPr>
        <sz val="10"/>
        <rFont val="WenQuanYi Zen Hei"/>
        <family val="2"/>
      </rPr>
      <t xml:space="preserve">改修して直します。</t>
    </r>
    <r>
      <rPr>
        <sz val="10"/>
        <rFont val="Arial"/>
        <family val="0"/>
        <charset val="1"/>
      </rPr>
      <t xml:space="preserve">AIRCLOSET-54658</t>
    </r>
  </si>
  <si>
    <t xml:space="preserve">SCMG-43</t>
  </si>
  <si>
    <t xml:space="preserve">2023/09/02</t>
  </si>
  <si>
    <t xml:space="preserve">2023/09/04</t>
  </si>
  <si>
    <t xml:space="preserve">ヤマト出荷データアップロード漏れ</t>
  </si>
  <si>
    <r>
      <rPr>
        <sz val="10"/>
        <rFont val="WenQuanYi Zen Hei"/>
        <family val="2"/>
      </rPr>
      <t xml:space="preserve">約</t>
    </r>
    <r>
      <rPr>
        <sz val="10"/>
        <rFont val="Arial"/>
        <family val="0"/>
        <charset val="1"/>
      </rPr>
      <t xml:space="preserve">300</t>
    </r>
    <r>
      <rPr>
        <sz val="10"/>
        <rFont val="WenQuanYi Zen Hei"/>
        <family val="2"/>
      </rPr>
      <t xml:space="preserve">名</t>
    </r>
  </si>
  <si>
    <r>
      <rPr>
        <sz val="10"/>
        <rFont val="WenQuanYi Zen Hei"/>
        <family val="2"/>
      </rPr>
      <t xml:space="preserve">そのそののバグ：バグチケ切ってもらう
原因特定中
→原因が上記の案件と同じバグの可能性が高いので上記の改修を持って様子見します。</t>
    </r>
    <r>
      <rPr>
        <sz val="10"/>
        <rFont val="Arial"/>
        <family val="0"/>
        <charset val="1"/>
      </rPr>
      <t xml:space="preserve">AIRCLOSET-54658
</t>
    </r>
    <r>
      <rPr>
        <sz val="10"/>
        <rFont val="WenQuanYi Zen Hei"/>
        <family val="2"/>
      </rPr>
      <t xml:space="preserve">業務の仕組み化
→今後のために</t>
    </r>
    <r>
      <rPr>
        <sz val="10"/>
        <rFont val="Arial"/>
        <family val="0"/>
        <charset val="1"/>
      </rPr>
      <t xml:space="preserve">FW</t>
    </r>
    <r>
      <rPr>
        <sz val="10"/>
        <rFont val="WenQuanYi Zen Hei"/>
        <family val="2"/>
      </rPr>
      <t xml:space="preserve">チームルーチン表に入れて業務ルーティン化します</t>
    </r>
  </si>
  <si>
    <t xml:space="preserve">SCMG-44</t>
  </si>
  <si>
    <t xml:space="preserve">2023/10/03</t>
  </si>
  <si>
    <t xml:space="preserve">2023/10/01</t>
  </si>
  <si>
    <t xml:space="preserve">事後稟議ー不入流解約合意書</t>
  </si>
  <si>
    <t xml:space="preserve">月末ギリギリの締結がある場合は、メールで先方との締め切りのエビデンスをとる。
申請と同時に翌日に連絡が来ないことを検知するために自身のカレンダーに入力を同時に行い、来ていない旨を検知できるようにする。
また草案自体もドラフトとして先方に提出していたので、書面名も　解約合意書ドラフト　と記載していたが
修正点として指摘していなかったため起きたので、今後は”ドラフト”の記載はファイル名だけにする。
先…</t>
  </si>
  <si>
    <t xml:space="preserve">SCMG-45</t>
  </si>
  <si>
    <t xml:space="preserve">2023/10/23</t>
  </si>
  <si>
    <t xml:space="preserve">手動連携の日付ミス</t>
  </si>
  <si>
    <r>
      <rPr>
        <sz val="10"/>
        <rFont val="WenQuanYi Zen Hei"/>
        <family val="2"/>
      </rPr>
      <t xml:space="preserve">影響度；</t>
    </r>
    <r>
      <rPr>
        <sz val="10"/>
        <rFont val="Arial"/>
        <family val="0"/>
        <charset val="1"/>
      </rPr>
      <t xml:space="preserve">24</t>
    </r>
    <r>
      <rPr>
        <sz val="10"/>
        <rFont val="WenQuanYi Zen Hei"/>
        <family val="2"/>
      </rPr>
      <t xml:space="preserve">件の再選定
影響人数：</t>
    </r>
    <r>
      <rPr>
        <sz val="10"/>
        <rFont val="Arial"/>
        <family val="0"/>
        <charset val="1"/>
      </rPr>
      <t xml:space="preserve">24</t>
    </r>
    <r>
      <rPr>
        <sz val="10"/>
        <rFont val="WenQuanYi Zen Hei"/>
        <family val="2"/>
      </rPr>
      <t xml:space="preserve">人</t>
    </r>
    <r>
      <rPr>
        <sz val="10"/>
        <rFont val="Arial"/>
        <family val="0"/>
        <charset val="1"/>
      </rPr>
      <t xml:space="preserve">(</t>
    </r>
    <r>
      <rPr>
        <sz val="10"/>
        <rFont val="WenQuanYi Zen Hei"/>
        <family val="2"/>
      </rPr>
      <t xml:space="preserve">再選定となったが出荷遅延はなし</t>
    </r>
    <r>
      <rPr>
        <sz val="10"/>
        <rFont val="Arial"/>
        <family val="0"/>
        <charset val="1"/>
      </rPr>
      <t xml:space="preserve">)
</t>
    </r>
    <r>
      <rPr>
        <sz val="10"/>
        <rFont val="WenQuanYi Zen Hei"/>
        <family val="2"/>
      </rPr>
      <t xml:space="preserve">中</t>
    </r>
    <r>
      <rPr>
        <sz val="10"/>
        <rFont val="Arial"/>
        <family val="0"/>
        <charset val="1"/>
      </rPr>
      <t xml:space="preserve">3</t>
    </r>
    <r>
      <rPr>
        <sz val="10"/>
        <rFont val="WenQuanYi Zen Hei"/>
        <family val="2"/>
      </rPr>
      <t xml:space="preserve">日で届いたはずが、中</t>
    </r>
    <r>
      <rPr>
        <sz val="10"/>
        <rFont val="Arial"/>
        <family val="0"/>
        <charset val="1"/>
      </rPr>
      <t xml:space="preserve">4</t>
    </r>
    <r>
      <rPr>
        <sz val="10"/>
        <rFont val="WenQuanYi Zen Hei"/>
        <family val="2"/>
      </rPr>
      <t xml:space="preserve">日で届くことになっ…</t>
    </r>
  </si>
  <si>
    <t xml:space="preserve">間違えて手動連携を誤った時に、変更したいのはお客様へのメッセージ日時。
間違えて手動連携した時に、お客様への到着メッセージが変更できる仕組みを開発する。</t>
  </si>
  <si>
    <t xml:space="preserve">SCMG-46</t>
  </si>
  <si>
    <t xml:space="preserve">2023/10/27</t>
  </si>
  <si>
    <t xml:space="preserve">枠番割り付けミスによる他社との重複発番
前回とは理由別</t>
  </si>
  <si>
    <r>
      <rPr>
        <sz val="10"/>
        <rFont val="Arial"/>
        <family val="0"/>
        <charset val="1"/>
      </rPr>
      <t xml:space="preserve">355</t>
    </r>
    <r>
      <rPr>
        <sz val="10"/>
        <rFont val="WenQuanYi Zen Hei"/>
        <family val="2"/>
      </rPr>
      <t xml:space="preserve">名＋</t>
    </r>
    <r>
      <rPr>
        <sz val="10"/>
        <rFont val="Arial"/>
        <family val="0"/>
        <charset val="1"/>
      </rPr>
      <t xml:space="preserve">173</t>
    </r>
    <r>
      <rPr>
        <sz val="10"/>
        <rFont val="WenQuanYi Zen Hei"/>
        <family val="2"/>
      </rPr>
      <t xml:space="preserve">名</t>
    </r>
  </si>
  <si>
    <r>
      <rPr>
        <sz val="10"/>
        <rFont val="Arial"/>
        <family val="0"/>
        <charset val="1"/>
      </rPr>
      <t xml:space="preserve">①bridge</t>
    </r>
    <r>
      <rPr>
        <sz val="10"/>
        <rFont val="WenQuanYi Zen Hei"/>
        <family val="2"/>
      </rPr>
      <t xml:space="preserve">作成当初、どういった経緯で該当の枠番がセットされたか、定かではない
（何も履歴が残っていない）
②前回の原因調査の際多数の人間が該当のテーブルを確認していたが誰も気づいていない＆別の仮説で恒久対応が執り行われた
①の際はエンジニアへの伝達方法に問題があったと思われる。
今後重要なプリセットデータは、</t>
    </r>
    <r>
      <rPr>
        <sz val="10"/>
        <rFont val="Arial"/>
        <family val="0"/>
        <charset val="1"/>
      </rPr>
      <t xml:space="preserve">WF</t>
    </r>
    <r>
      <rPr>
        <sz val="10"/>
        <rFont val="WenQuanYi Zen Hei"/>
        <family val="2"/>
      </rPr>
      <t xml:space="preserve">を通じてデータの受け渡しをするルールを徹底します
それとループのテストは実施されて…</t>
    </r>
  </si>
  <si>
    <t xml:space="preserve">SCMG-47</t>
  </si>
  <si>
    <t xml:space="preserve">2023/11/15</t>
  </si>
  <si>
    <t xml:space="preserve">資材ショート</t>
  </si>
  <si>
    <t xml:space="preserve">オークさんの月次棚卸の数量を現場にある分もカウントするようにします。
また
生産発注のエビデンスをしっかり取るように、月次定例後に先方が発注した旨をメールでエビデンスをもらう運用を開始します。</t>
  </si>
  <si>
    <t xml:space="preserve">SCMG-48</t>
  </si>
  <si>
    <t xml:space="preserve">エアクロプロ出荷漏れ</t>
  </si>
  <si>
    <r>
      <rPr>
        <sz val="10"/>
        <rFont val="Arial"/>
        <family val="0"/>
        <charset val="1"/>
      </rPr>
      <t xml:space="preserve">1</t>
    </r>
    <r>
      <rPr>
        <sz val="10"/>
        <rFont val="WenQuanYi Zen Hei"/>
        <family val="2"/>
      </rPr>
      <t xml:space="preserve">社</t>
    </r>
  </si>
  <si>
    <r>
      <rPr>
        <sz val="10"/>
        <rFont val="WenQuanYi Zen Hei"/>
        <family val="2"/>
      </rPr>
      <t xml:space="preserve">漏れてる可能性がある</t>
    </r>
    <r>
      <rPr>
        <sz val="10"/>
        <rFont val="Arial"/>
        <family val="0"/>
        <charset val="1"/>
      </rPr>
      <t xml:space="preserve">BOT</t>
    </r>
    <r>
      <rPr>
        <sz val="10"/>
        <rFont val="WenQuanYi Zen Hei"/>
        <family val="2"/>
      </rPr>
      <t xml:space="preserve">通知作り通知が来たら、連携する。
＆運用でエアクロプロは月次</t>
    </r>
    <r>
      <rPr>
        <sz val="10"/>
        <rFont val="Arial"/>
        <family val="0"/>
        <charset val="1"/>
      </rPr>
      <t xml:space="preserve">2</t>
    </r>
    <r>
      <rPr>
        <sz val="10"/>
        <rFont val="WenQuanYi Zen Hei"/>
        <family val="2"/>
      </rPr>
      <t xml:space="preserve">回の固定日付で行うのフローに変更する。</t>
    </r>
  </si>
  <si>
    <t xml:space="preserve">SCMG-49</t>
  </si>
  <si>
    <t xml:space="preserve">2023/11/21</t>
  </si>
  <si>
    <t xml:space="preserve">エコセールインシデントまとめ</t>
  </si>
  <si>
    <r>
      <rPr>
        <sz val="10"/>
        <rFont val="Arial"/>
        <family val="0"/>
        <charset val="1"/>
      </rPr>
      <t xml:space="preserve">①61</t>
    </r>
    <r>
      <rPr>
        <sz val="10"/>
        <rFont val="WenQuanYi Zen Hei"/>
        <family val="2"/>
      </rPr>
      <t xml:space="preserve">件（再選定</t>
    </r>
    <r>
      <rPr>
        <sz val="10"/>
        <rFont val="Arial"/>
        <family val="0"/>
        <charset val="1"/>
      </rPr>
      <t xml:space="preserve">29</t>
    </r>
    <r>
      <rPr>
        <sz val="10"/>
        <rFont val="WenQuanYi Zen Hei"/>
        <family val="2"/>
      </rPr>
      <t xml:space="preserve">名）　
②</t>
    </r>
    <r>
      <rPr>
        <sz val="10"/>
        <rFont val="Arial"/>
        <family val="0"/>
        <charset val="1"/>
      </rPr>
      <t xml:space="preserve">43</t>
    </r>
    <r>
      <rPr>
        <sz val="10"/>
        <rFont val="WenQuanYi Zen Hei"/>
        <family val="2"/>
      </rPr>
      <t xml:space="preserve">件
③</t>
    </r>
    <r>
      <rPr>
        <sz val="10"/>
        <rFont val="Arial"/>
        <family val="0"/>
        <charset val="1"/>
      </rPr>
      <t xml:space="preserve">8</t>
    </r>
    <r>
      <rPr>
        <sz val="10"/>
        <rFont val="WenQuanYi Zen Hei"/>
        <family val="2"/>
      </rPr>
      <t xml:space="preserve">件
④</t>
    </r>
    <r>
      <rPr>
        <sz val="10"/>
        <rFont val="Arial"/>
        <family val="0"/>
        <charset val="1"/>
      </rPr>
      <t xml:space="preserve">6</t>
    </r>
    <r>
      <rPr>
        <sz val="10"/>
        <rFont val="WenQuanYi Zen Hei"/>
        <family val="2"/>
      </rPr>
      <t xml:space="preserve">件</t>
    </r>
  </si>
  <si>
    <r>
      <rPr>
        <sz val="10"/>
        <rFont val="WenQuanYi Zen Hei"/>
        <family val="2"/>
      </rPr>
      <t xml:space="preserve">①エアクロと在庫が被らないように</t>
    </r>
    <r>
      <rPr>
        <sz val="10"/>
        <rFont val="Arial"/>
        <family val="0"/>
        <charset val="1"/>
      </rPr>
      <t xml:space="preserve">Pending</t>
    </r>
    <r>
      <rPr>
        <sz val="10"/>
        <rFont val="WenQuanYi Zen Hei"/>
        <family val="2"/>
      </rPr>
      <t xml:space="preserve">は絶対実施＆エコセールの緊急開催はしない（ルールの徹底）
在庫のずれについては</t>
    </r>
    <r>
      <rPr>
        <sz val="10"/>
        <rFont val="Arial"/>
        <family val="0"/>
        <charset val="1"/>
      </rPr>
      <t xml:space="preserve">PDG</t>
    </r>
    <r>
      <rPr>
        <sz val="10"/>
        <rFont val="WenQuanYi Zen Hei"/>
        <family val="2"/>
      </rPr>
      <t xml:space="preserve">の報告であるようにバッチの問題なのでここでは省略します。
②業務中の立ち話で</t>
    </r>
    <r>
      <rPr>
        <sz val="10"/>
        <rFont val="Arial"/>
        <family val="0"/>
        <charset val="1"/>
      </rPr>
      <t xml:space="preserve">R</t>
    </r>
    <r>
      <rPr>
        <sz val="10"/>
        <rFont val="WenQuanYi Zen Hei"/>
        <family val="2"/>
      </rPr>
      <t xml:space="preserve">「新品と中古品のだしわけってできますか？」</t>
    </r>
    <r>
      <rPr>
        <sz val="10"/>
        <rFont val="Arial"/>
        <family val="0"/>
        <charset val="1"/>
      </rPr>
      <t xml:space="preserve">J</t>
    </r>
    <r>
      <rPr>
        <sz val="10"/>
        <rFont val="WenQuanYi Zen Hei"/>
        <family val="2"/>
      </rPr>
      <t xml:space="preserve">「できる（</t>
    </r>
    <r>
      <rPr>
        <sz val="10"/>
        <rFont val="Arial"/>
        <family val="0"/>
        <charset val="1"/>
      </rPr>
      <t xml:space="preserve">SUC</t>
    </r>
    <r>
      <rPr>
        <sz val="10"/>
        <rFont val="WenQuanYi Zen Hei"/>
        <family val="2"/>
      </rPr>
      <t xml:space="preserve">分て新規入庫しなおすとか結構大変だけど）」
担当者同士の”できる”の取り違え。
今回はキックオフもせず何か今までと違う施策を行う場合…</t>
    </r>
  </si>
  <si>
    <t xml:space="preserve">SCMG-50</t>
  </si>
  <si>
    <t xml:space="preserve">2023/08/28</t>
  </si>
  <si>
    <t xml:space="preserve">2023/12/06</t>
  </si>
  <si>
    <r>
      <rPr>
        <sz val="10"/>
        <rFont val="Arial"/>
        <family val="0"/>
        <charset val="1"/>
      </rPr>
      <t xml:space="preserve">JP</t>
    </r>
    <r>
      <rPr>
        <sz val="10"/>
        <rFont val="WenQuanYi Zen Hei"/>
        <family val="2"/>
      </rPr>
      <t xml:space="preserve">オーダーのお届け予定時間誤表記</t>
    </r>
  </si>
  <si>
    <r>
      <rPr>
        <sz val="10"/>
        <rFont val="Arial"/>
        <family val="0"/>
        <charset val="1"/>
      </rPr>
      <t xml:space="preserve">250</t>
    </r>
    <r>
      <rPr>
        <sz val="10"/>
        <rFont val="WenQuanYi Zen Hei"/>
        <family val="2"/>
      </rPr>
      <t xml:space="preserve">オーダー</t>
    </r>
  </si>
  <si>
    <r>
      <rPr>
        <sz val="10"/>
        <rFont val="WenQuanYi Zen Hei"/>
        <family val="2"/>
      </rPr>
      <t xml:space="preserve">正しいお届けリードタイムマスタの参照先に変更をします。
主担当が把握していた内容だが、</t>
    </r>
    <r>
      <rPr>
        <sz val="10"/>
        <rFont val="Arial"/>
        <family val="0"/>
        <charset val="1"/>
      </rPr>
      <t xml:space="preserve">https://air-closet.slack.com/archives/C04P13PAFF0/p1678867378283569
</t>
    </r>
    <r>
      <rPr>
        <sz val="10"/>
        <rFont val="WenQuanYi Zen Hei"/>
        <family val="2"/>
      </rPr>
      <t xml:space="preserve">以降どういうロジックで決めた内容かのエビデンスが残っておらず、直接話したみたいだが覚えておらず。
仕様に関する質問に関してはこの際にはなかった、課題管理表の運用を徹底して残してい…</t>
    </r>
  </si>
  <si>
    <t xml:space="preserve">SCMG-51</t>
  </si>
  <si>
    <t xml:space="preserve">2023/12/25</t>
  </si>
  <si>
    <t xml:space="preserve">同じカートに同じピッキンググループが紐づいてしまう問題</t>
  </si>
  <si>
    <r>
      <rPr>
        <sz val="10"/>
        <rFont val="Arial"/>
        <family val="0"/>
        <charset val="1"/>
      </rPr>
      <t xml:space="preserve">33</t>
    </r>
    <r>
      <rPr>
        <sz val="10"/>
        <rFont val="WenQuanYi Zen Hei"/>
        <family val="2"/>
      </rPr>
      <t xml:space="preserve">オーダー</t>
    </r>
  </si>
  <si>
    <t xml:space="preserve">調査依頼中</t>
  </si>
  <si>
    <r>
      <rPr>
        <sz val="10"/>
        <rFont val="WenQuanYi Zen Hei"/>
        <family val="2"/>
      </rPr>
      <t xml:space="preserve">同梱物の進行を口頭で進めるのではなく、スプレットシートを用いて、確認項目を関係者全員が確認できるようにする。
同梱を一人で行うとミスに気づけないため、確認者を</t>
    </r>
    <r>
      <rPr>
        <sz val="10"/>
        <rFont val="Arial"/>
        <family val="0"/>
        <charset val="1"/>
      </rPr>
      <t xml:space="preserve">SCM2</t>
    </r>
    <r>
      <rPr>
        <sz val="10"/>
        <rFont val="WenQuanYi Zen Hei"/>
        <family val="2"/>
      </rPr>
      <t xml:space="preserve">名にするフローに変更する。
（同梱依頼シートの作成、専用スラックの作成）
</t>
    </r>
    <r>
      <rPr>
        <sz val="10"/>
        <rFont val="Arial"/>
        <family val="0"/>
        <charset val="1"/>
      </rPr>
      <t xml:space="preserve">https://docs.google.com/spreadsheets/d/1a5EkyEtkdVyCQgKU0mNGjKJEJWIwNwRvG97QP31F…</t>
    </r>
  </si>
  <si>
    <r>
      <rPr>
        <sz val="10"/>
        <rFont val="Arial"/>
        <family val="0"/>
        <charset val="1"/>
      </rPr>
      <t xml:space="preserve">①Wi-Fi</t>
    </r>
    <r>
      <rPr>
        <sz val="10"/>
        <rFont val="WenQuanYi Zen Hei"/>
        <family val="2"/>
      </rPr>
      <t xml:space="preserve">のバックアップを用意する。（固定</t>
    </r>
    <r>
      <rPr>
        <sz val="10"/>
        <rFont val="Arial"/>
        <family val="0"/>
        <charset val="1"/>
      </rPr>
      <t xml:space="preserve">IP</t>
    </r>
    <r>
      <rPr>
        <sz val="10"/>
        <rFont val="WenQuanYi Zen Hei"/>
        <family val="2"/>
      </rPr>
      <t xml:space="preserve">をもつインターネットの冗長化）
②業務基本契約書第２１条（事故処理）に即して、</t>
    </r>
    <r>
      <rPr>
        <sz val="10"/>
        <rFont val="Arial"/>
        <family val="0"/>
        <charset val="1"/>
      </rPr>
      <t xml:space="preserve">OAK</t>
    </r>
    <r>
      <rPr>
        <sz val="10"/>
        <rFont val="WenQuanYi Zen Hei"/>
        <family val="2"/>
      </rPr>
      <t xml:space="preserve">物流倉庫の電源強化等の対応を依頼（</t>
    </r>
    <r>
      <rPr>
        <sz val="10"/>
        <rFont val="Arial"/>
        <family val="0"/>
        <charset val="1"/>
      </rPr>
      <t xml:space="preserve">OAK</t>
    </r>
    <r>
      <rPr>
        <sz val="10"/>
        <rFont val="WenQuanYi Zen Hei"/>
        <family val="2"/>
      </rPr>
      <t xml:space="preserve">物流様側の対応）…取扱い電圧の許容度の拡大と設備の改善・新調等の対応（経過報告を依頼し、承諾済み）
③出荷前検品は、通常のオペレーションと確保する労働時間を切り分け、イレギュラーが起きても、出荷前検品に影響が出づらい状況を作る</t>
    </r>
    <r>
      <rPr>
        <sz val="10"/>
        <rFont val="Arial"/>
        <family val="0"/>
        <charset val="1"/>
      </rPr>
      <t xml:space="preserve">(…</t>
    </r>
  </si>
  <si>
    <r>
      <rPr>
        <sz val="10"/>
        <rFont val="Arial"/>
        <family val="0"/>
        <charset val="1"/>
      </rPr>
      <t xml:space="preserve">ac-div</t>
    </r>
    <r>
      <rPr>
        <sz val="10"/>
        <rFont val="WenQuanYi Zen Hei"/>
        <family val="2"/>
      </rPr>
      <t xml:space="preserve">との相違：</t>
    </r>
    <r>
      <rPr>
        <sz val="10"/>
        <rFont val="Arial"/>
        <family val="0"/>
        <charset val="1"/>
      </rPr>
      <t xml:space="preserve">2,853</t>
    </r>
    <r>
      <rPr>
        <sz val="10"/>
        <rFont val="WenQuanYi Zen Hei"/>
        <family val="2"/>
      </rPr>
      <t xml:space="preserve">名（</t>
    </r>
    <r>
      <rPr>
        <sz val="10"/>
        <rFont val="Arial"/>
        <family val="0"/>
        <charset val="1"/>
      </rPr>
      <t xml:space="preserve">7/17-8/4</t>
    </r>
    <r>
      <rPr>
        <sz val="10"/>
        <rFont val="WenQuanYi Zen Hei"/>
        <family val="2"/>
      </rPr>
      <t xml:space="preserve">までに送るべきでないのに送ってしまったお客様の数）
期間外の発送：</t>
    </r>
    <r>
      <rPr>
        <sz val="10"/>
        <rFont val="Arial"/>
        <family val="0"/>
        <charset val="1"/>
      </rPr>
      <t xml:space="preserve">7…</t>
    </r>
  </si>
  <si>
    <r>
      <rPr>
        <sz val="10"/>
        <rFont val="WenQuanYi Zen Hei"/>
        <family val="2"/>
      </rPr>
      <t xml:space="preserve">設定期日に気づける仕組みを自動化する／担当者だけに属人化させない
同梱依頼のフローは、依頼ファイル入力⇨スラック連絡で始まる。
</t>
    </r>
    <r>
      <rPr>
        <sz val="10"/>
        <rFont val="Arial"/>
        <family val="0"/>
        <charset val="1"/>
      </rPr>
      <t xml:space="preserve">https://docs.google.com/spreadsheets/d/1a5EkyEtkdVyCQgKU0mNGjKJEJWIwNwRvG97QP31FSrc/edit?gid=0#gid=0&amp;range=B2
</t>
    </r>
    <r>
      <rPr>
        <sz val="10"/>
        <rFont val="WenQuanYi Zen Hei"/>
        <family val="2"/>
      </rPr>
      <t xml:space="preserve">この依頼設定が入力された段階で、
期日アラートを組む…</t>
    </r>
  </si>
  <si>
    <r>
      <rPr>
        <sz val="10"/>
        <rFont val="WenQuanYi Zen Hei"/>
        <family val="2"/>
      </rPr>
      <t xml:space="preserve">現場側の恒久対応に関しては、
① 返却荷受後のお客様送り状は即時廃棄とし、廃棄時に当日の返却点数と送り状枚数の一致確認を行う運用へ変更→ 物理的に送り状が工程内に残らない構造へ移行し、混入リスクを排除します。
② </t>
    </r>
    <r>
      <rPr>
        <sz val="10"/>
        <rFont val="Arial"/>
        <family val="0"/>
        <charset val="1"/>
      </rPr>
      <t xml:space="preserve">B</t>
    </r>
    <r>
      <rPr>
        <sz val="10"/>
        <rFont val="WenQuanYi Zen Hei"/>
        <family val="2"/>
      </rPr>
      <t xml:space="preserve">品対応時の情報管理は、付箋・メモ用紙等の個別管理を廃止し、すべてメンテナンスチェックシートのメモ欄へ一元集約→ 情報管理媒体を統一し、工程内情報の分散・逸脱を防止します。
</t>
    </r>
    <r>
      <rPr>
        <sz val="10"/>
        <rFont val="Arial"/>
        <family val="0"/>
        <charset val="1"/>
      </rPr>
      <t xml:space="preserve">SCM</t>
    </r>
    <r>
      <rPr>
        <sz val="10"/>
        <rFont val="WenQuanYi Zen Hei"/>
        <family val="2"/>
      </rPr>
      <t xml:space="preserve">、</t>
    </r>
    <r>
      <rPr>
        <sz val="10"/>
        <rFont val="Arial"/>
        <family val="0"/>
        <charset val="1"/>
      </rPr>
      <t xml:space="preserve">ma…</t>
    </r>
  </si>
  <si>
    <r>
      <rPr>
        <sz val="10"/>
        <rFont val="WenQuanYi Zen Hei"/>
        <family val="2"/>
      </rPr>
      <t xml:space="preserve">出荷締め完了後に</t>
    </r>
    <r>
      <rPr>
        <sz val="10"/>
        <rFont val="Arial"/>
        <family val="0"/>
        <charset val="1"/>
      </rPr>
      <t xml:space="preserve">SCM</t>
    </r>
    <r>
      <rPr>
        <sz val="10"/>
        <rFont val="WenQuanYi Zen Hei"/>
        <family val="2"/>
      </rPr>
      <t xml:space="preserve">に連絡を送っていただく
</t>
    </r>
    <r>
      <rPr>
        <sz val="10"/>
        <rFont val="Arial"/>
        <family val="0"/>
        <charset val="1"/>
      </rPr>
      <t xml:space="preserve">SCM</t>
    </r>
    <r>
      <rPr>
        <sz val="10"/>
        <rFont val="WenQuanYi Zen Hei"/>
        <family val="2"/>
      </rPr>
      <t xml:space="preserve">も</t>
    </r>
    <r>
      <rPr>
        <sz val="10"/>
        <rFont val="Arial"/>
        <family val="0"/>
        <charset val="1"/>
      </rPr>
      <t xml:space="preserve">18:00</t>
    </r>
    <r>
      <rPr>
        <sz val="10"/>
        <rFont val="WenQuanYi Zen Hei"/>
        <family val="2"/>
      </rPr>
      <t xml:space="preserve">までに連絡がない場合は確認を行う
現状</t>
    </r>
    <r>
      <rPr>
        <sz val="10"/>
        <rFont val="Arial"/>
        <family val="0"/>
        <charset val="1"/>
      </rPr>
      <t xml:space="preserve">bridge</t>
    </r>
    <r>
      <rPr>
        <sz val="10"/>
        <rFont val="WenQuanYi Zen Hei"/>
        <family val="2"/>
      </rPr>
      <t xml:space="preserve">を使用していない為、システム的にステータス変更後に通知を飛ばすのは困難な為、現状手動・能動的な確認対応で再発防止に努めている段階です。
以下、オーク様側からいただいた再発防止対応になります。
■運用ルール
① 毎日</t>
    </r>
    <r>
      <rPr>
        <sz val="10"/>
        <rFont val="Arial"/>
        <family val="0"/>
        <charset val="1"/>
      </rPr>
      <t xml:space="preserve">17</t>
    </r>
    <r>
      <rPr>
        <sz val="10"/>
        <rFont val="WenQuanYi Zen Hei"/>
        <family val="2"/>
      </rPr>
      <t xml:space="preserve">時にアラームを設定
② アラームは任意で解除しない
③ アラーム作動…</t>
    </r>
  </si>
</sst>
</file>

<file path=xl/styles.xml><?xml version="1.0" encoding="utf-8"?>
<styleSheet xmlns="http://schemas.openxmlformats.org/spreadsheetml/2006/main">
  <numFmts count="4">
    <numFmt numFmtId="164" formatCode="General"/>
    <numFmt numFmtId="165" formatCode="yyyy/mm/dd"/>
    <numFmt numFmtId="166" formatCode="General"/>
    <numFmt numFmtId="167" formatCode="0.0%"/>
  </numFmts>
  <fonts count="12">
    <font>
      <sz val="11"/>
      <color theme="1"/>
      <name val="Calibri"/>
      <family val="2"/>
      <charset val="1"/>
    </font>
    <font>
      <sz val="10"/>
      <name val="Arial"/>
      <family val="0"/>
    </font>
    <font>
      <sz val="10"/>
      <name val="Arial"/>
      <family val="0"/>
    </font>
    <font>
      <sz val="10"/>
      <name val="Arial"/>
      <family val="0"/>
    </font>
    <font>
      <b val="true"/>
      <sz val="14"/>
      <name val="WenQuanYi Zen Hei"/>
      <family val="2"/>
    </font>
    <font>
      <b val="true"/>
      <sz val="14"/>
      <name val="Arial"/>
      <family val="0"/>
      <charset val="1"/>
    </font>
    <font>
      <sz val="10"/>
      <name val="WenQuanYi Zen Hei"/>
      <family val="2"/>
    </font>
    <font>
      <sz val="10"/>
      <name val="Arial"/>
      <family val="0"/>
      <charset val="1"/>
    </font>
    <font>
      <b val="true"/>
      <sz val="10"/>
      <name val="WenQuanYi Zen Hei"/>
      <family val="2"/>
    </font>
    <font>
      <b val="true"/>
      <sz val="10"/>
      <color rgb="FFFFFFFF"/>
      <name val="Arial"/>
      <family val="0"/>
      <charset val="1"/>
    </font>
    <font>
      <b val="true"/>
      <sz val="10"/>
      <color rgb="FFFFFFFF"/>
      <name val="WenQuanYi Zen Hei"/>
      <family val="2"/>
    </font>
    <font>
      <b val="true"/>
      <sz val="10"/>
      <name val="Arial"/>
      <family val="0"/>
      <charset val="1"/>
    </font>
  </fonts>
  <fills count="6">
    <fill>
      <patternFill patternType="none"/>
    </fill>
    <fill>
      <patternFill patternType="gray125"/>
    </fill>
    <fill>
      <patternFill patternType="solid">
        <fgColor rgb="FFB71C1C"/>
        <bgColor rgb="FF993366"/>
      </patternFill>
    </fill>
    <fill>
      <patternFill patternType="solid">
        <fgColor rgb="FFF2F2F2"/>
        <bgColor rgb="FFFCE4EC"/>
      </patternFill>
    </fill>
    <fill>
      <patternFill patternType="solid">
        <fgColor rgb="FFFFF2CC"/>
        <bgColor rgb="FFF2F2F2"/>
      </patternFill>
    </fill>
    <fill>
      <patternFill patternType="solid">
        <fgColor rgb="FFFCE4E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7"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6" fontId="11"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B71C1C"/>
          <bgColor rgb="FF000000"/>
        </patternFill>
      </fill>
    </dxf>
    <dxf>
      <fill>
        <patternFill patternType="solid">
          <fgColor rgb="FFFCE4EC"/>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B7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4" hidden="false" customHeight="false" outlineLevel="0" collapsed="false">
      <c r="A1" s="1" t="s">
        <v>0</v>
      </c>
    </row>
    <row r="2" customFormat="false" ht="39.5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6.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15" hidden="false" customHeight="false" outlineLevel="0" collapsed="false">
      <c r="A13" s="4" t="s">
        <v>10</v>
      </c>
    </row>
    <row r="14" customFormat="false" ht="15" hidden="false" customHeight="false" outlineLevel="0" collapsed="false">
      <c r="A14" s="4" t="s">
        <v>11</v>
      </c>
    </row>
    <row r="15" customFormat="false" ht="26.8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3"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9"/>
    <col collapsed="false" customWidth="true" hidden="false" outlineLevel="0" max="5" min="4" style="0" width="11"/>
    <col collapsed="false" customWidth="true" hidden="false" outlineLevel="0" max="6" min="6" style="0" width="7"/>
    <col collapsed="false" customWidth="true" hidden="false" outlineLevel="0" max="7" min="7" style="0" width="34"/>
    <col collapsed="false" customWidth="true" hidden="false" outlineLevel="0" max="8" min="8" style="0" width="20"/>
    <col collapsed="false" customWidth="true" hidden="false" outlineLevel="0" max="9" min="9" style="0" width="6"/>
    <col collapsed="false" customWidth="true" hidden="false" outlineLevel="0" max="10" min="10" style="0" width="24"/>
    <col collapsed="false" customWidth="true" hidden="false" outlineLevel="0" max="11" min="11" style="0" width="14"/>
    <col collapsed="false" customWidth="true" hidden="false" outlineLevel="0" max="12" min="12" style="0" width="60"/>
    <col collapsed="false" customWidth="true" hidden="false" outlineLevel="0" max="14" min="13" style="0" width="10"/>
    <col collapsed="false" customWidth="true" hidden="false" outlineLevel="0" max="17" min="15" style="0" width="12"/>
    <col collapsed="false" customWidth="true" hidden="false" outlineLevel="0" max="18" min="18" style="0" width="10"/>
    <col collapsed="false" customWidth="true" hidden="false" outlineLevel="0" max="19" min="19" style="0" width="8"/>
    <col collapsed="false" customWidth="true" hidden="false" outlineLevel="0" max="20" min="20" style="0" width="9"/>
    <col collapsed="false" customWidth="true" hidden="false" outlineLevel="0" max="22" min="21" style="0" width="16"/>
    <col collapsed="false" customWidth="true" hidden="false" outlineLevel="0" max="23" min="23" style="0" width="10"/>
    <col collapsed="false" customWidth="true" hidden="false" outlineLevel="0" max="24" min="24" style="0" width="60"/>
    <col collapsed="false" customWidth="true" hidden="false" outlineLevel="0" max="25" min="25" style="0" width="10"/>
    <col collapsed="false" customWidth="true" hidden="false" outlineLevel="0" max="26" min="26" style="0" width="40"/>
  </cols>
  <sheetData>
    <row r="1" customFormat="false" ht="39.55" hidden="false" customHeight="false" outlineLevel="0" collapsed="false">
      <c r="A1" s="5" t="s">
        <v>19</v>
      </c>
      <c r="B1" s="6" t="s">
        <v>20</v>
      </c>
      <c r="C1" s="6" t="s">
        <v>21</v>
      </c>
      <c r="D1" s="6" t="s">
        <v>22</v>
      </c>
      <c r="E1" s="6" t="s">
        <v>23</v>
      </c>
      <c r="F1" s="6" t="s">
        <v>24</v>
      </c>
      <c r="G1" s="6" t="s">
        <v>25</v>
      </c>
      <c r="H1" s="6" t="s">
        <v>26</v>
      </c>
      <c r="I1" s="6" t="s">
        <v>27</v>
      </c>
      <c r="J1" s="6" t="s">
        <v>28</v>
      </c>
      <c r="K1" s="6" t="s">
        <v>29</v>
      </c>
      <c r="L1" s="6" t="s">
        <v>30</v>
      </c>
      <c r="M1" s="6" t="s">
        <v>31</v>
      </c>
      <c r="N1" s="6" t="s">
        <v>32</v>
      </c>
      <c r="O1" s="6" t="s">
        <v>33</v>
      </c>
      <c r="P1" s="6" t="s">
        <v>34</v>
      </c>
      <c r="Q1" s="6" t="s">
        <v>35</v>
      </c>
      <c r="R1" s="6" t="s">
        <v>36</v>
      </c>
      <c r="S1" s="5" t="s">
        <v>37</v>
      </c>
      <c r="T1" s="5" t="s">
        <v>38</v>
      </c>
      <c r="U1" s="6" t="s">
        <v>39</v>
      </c>
      <c r="V1" s="6" t="s">
        <v>40</v>
      </c>
      <c r="W1" s="6" t="s">
        <v>41</v>
      </c>
      <c r="X1" s="6" t="s">
        <v>42</v>
      </c>
      <c r="Y1" s="6" t="s">
        <v>43</v>
      </c>
      <c r="Z1" s="6" t="s">
        <v>44</v>
      </c>
    </row>
    <row r="2" customFormat="false" ht="90" hidden="false" customHeight="true" outlineLevel="0" collapsed="false">
      <c r="A2" s="7" t="n">
        <v>52</v>
      </c>
      <c r="B2" s="7" t="s">
        <v>45</v>
      </c>
      <c r="C2" s="7" t="s">
        <v>46</v>
      </c>
      <c r="D2" s="7" t="s">
        <v>47</v>
      </c>
      <c r="E2" s="7" t="s">
        <v>48</v>
      </c>
      <c r="F2" s="7" t="n">
        <v>2024</v>
      </c>
      <c r="G2" s="7" t="s">
        <v>49</v>
      </c>
      <c r="H2" s="8" t="s">
        <v>50</v>
      </c>
      <c r="I2" s="7" t="s">
        <v>51</v>
      </c>
      <c r="J2" s="7" t="s">
        <v>52</v>
      </c>
      <c r="K2" s="8" t="s">
        <v>53</v>
      </c>
      <c r="L2" s="8" t="s">
        <v>54</v>
      </c>
      <c r="M2" s="7" t="s">
        <v>55</v>
      </c>
      <c r="N2" s="7" t="s">
        <v>56</v>
      </c>
      <c r="O2" s="8"/>
      <c r="P2" s="8"/>
      <c r="Q2" s="8"/>
      <c r="R2" s="8"/>
      <c r="S2" s="9" t="str">
        <f aca="false">IF(AND(N2&lt;&gt;"",O2&lt;&gt;""),"○",IF(N2&lt;&gt;"","△","×"))</f>
        <v>△</v>
      </c>
      <c r="T2" s="9" t="str">
        <f aca="false">IF(Q2&lt;&gt;"","○","×")</f>
        <v>×</v>
      </c>
      <c r="U2" s="10" t="str">
        <f aca="true">IF(L2="","対策未記載",IF(Q2&lt;&gt;"","完了（有効性未評価）",IF(AND(P2&lt;&gt;"",P2&lt;TODAY()),"期限超過",IF(O2="","承認日なし","対応中（期限未設定）"))))</f>
        <v>承認日なし</v>
      </c>
      <c r="V2" s="8" t="s">
        <v>57</v>
      </c>
      <c r="W2" s="8" t="s">
        <v>58</v>
      </c>
      <c r="X2" s="8"/>
      <c r="Y2" s="11"/>
      <c r="Z2" s="11"/>
    </row>
    <row r="3" customFormat="false" ht="90" hidden="false" customHeight="true" outlineLevel="0" collapsed="false">
      <c r="A3" s="8" t="n">
        <v>53</v>
      </c>
      <c r="B3" s="7" t="s">
        <v>59</v>
      </c>
      <c r="C3" s="7" t="s">
        <v>46</v>
      </c>
      <c r="D3" s="7" t="s">
        <v>60</v>
      </c>
      <c r="E3" s="7" t="s">
        <v>61</v>
      </c>
      <c r="F3" s="8" t="n">
        <v>2024</v>
      </c>
      <c r="G3" s="8" t="s">
        <v>62</v>
      </c>
      <c r="H3" s="8" t="s">
        <v>63</v>
      </c>
      <c r="I3" s="7" t="s">
        <v>64</v>
      </c>
      <c r="J3" s="7" t="s">
        <v>65</v>
      </c>
      <c r="K3" s="8" t="s">
        <v>53</v>
      </c>
      <c r="L3" s="8" t="s">
        <v>66</v>
      </c>
      <c r="M3" s="7" t="s">
        <v>55</v>
      </c>
      <c r="N3" s="7" t="s">
        <v>67</v>
      </c>
      <c r="O3" s="12" t="n">
        <v>45338</v>
      </c>
      <c r="P3" s="12" t="n">
        <v>45338</v>
      </c>
      <c r="Q3" s="12" t="n">
        <v>45338</v>
      </c>
      <c r="R3" s="8"/>
      <c r="S3" s="9" t="str">
        <f aca="false">IF(AND(N3&lt;&gt;"",O3&lt;&gt;""),"○",IF(N3&lt;&gt;"","△","×"))</f>
        <v>○</v>
      </c>
      <c r="T3" s="9" t="str">
        <f aca="false">IF(Q3&lt;&gt;"","○","×")</f>
        <v>○</v>
      </c>
      <c r="U3" s="10" t="str">
        <f aca="true">IF(L3="","対策未記載",IF(Q3&lt;&gt;"","完了（有効性未評価）",IF(AND(P3&lt;&gt;"",P3&lt;TODAY()),"期限超過",IF(O3="","承認日なし","対応中（期限未設定）"))))</f>
        <v>完了（有効性未評価）</v>
      </c>
      <c r="V3" s="8" t="s">
        <v>68</v>
      </c>
      <c r="W3" s="13" t="s">
        <v>69</v>
      </c>
      <c r="X3" s="8" t="s">
        <v>70</v>
      </c>
      <c r="Y3" s="11"/>
      <c r="Z3" s="11"/>
    </row>
    <row r="4" customFormat="false" ht="90" hidden="false" customHeight="true" outlineLevel="0" collapsed="false">
      <c r="A4" s="8" t="n">
        <v>54</v>
      </c>
      <c r="B4" s="7" t="s">
        <v>71</v>
      </c>
      <c r="C4" s="7" t="s">
        <v>46</v>
      </c>
      <c r="D4" s="7" t="s">
        <v>72</v>
      </c>
      <c r="E4" s="7" t="s">
        <v>73</v>
      </c>
      <c r="F4" s="8" t="n">
        <v>2024</v>
      </c>
      <c r="G4" s="8" t="s">
        <v>74</v>
      </c>
      <c r="H4" s="8" t="s">
        <v>63</v>
      </c>
      <c r="I4" s="7" t="s">
        <v>64</v>
      </c>
      <c r="J4" s="8" t="s">
        <v>74</v>
      </c>
      <c r="K4" s="8"/>
      <c r="L4" s="8" t="s">
        <v>75</v>
      </c>
      <c r="M4" s="7" t="s">
        <v>76</v>
      </c>
      <c r="N4" s="7" t="s">
        <v>67</v>
      </c>
      <c r="O4" s="12" t="n">
        <v>45357</v>
      </c>
      <c r="P4" s="12" t="n">
        <v>45357</v>
      </c>
      <c r="Q4" s="8"/>
      <c r="R4" s="8"/>
      <c r="S4" s="9" t="str">
        <f aca="false">IF(AND(N4&lt;&gt;"",O4&lt;&gt;""),"○",IF(N4&lt;&gt;"","△","×"))</f>
        <v>○</v>
      </c>
      <c r="T4" s="9" t="str">
        <f aca="false">IF(Q4&lt;&gt;"","○","×")</f>
        <v>×</v>
      </c>
      <c r="U4" s="10" t="str">
        <f aca="true">IF(L4="","対策未記載",IF(Q4&lt;&gt;"","完了（有効性未評価）",IF(AND(P4&lt;&gt;"",P4&lt;TODAY()),"期限超過",IF(O4="","承認日なし","対応中（期限未設定）"))))</f>
        <v>期限超過</v>
      </c>
      <c r="V4" s="8" t="s">
        <v>77</v>
      </c>
      <c r="W4" s="13" t="s">
        <v>78</v>
      </c>
      <c r="X4" s="8" t="s">
        <v>79</v>
      </c>
      <c r="Y4" s="11"/>
      <c r="Z4" s="11"/>
    </row>
    <row r="5" customFormat="false" ht="90" hidden="false" customHeight="true" outlineLevel="0" collapsed="false">
      <c r="A5" s="8" t="n">
        <v>55</v>
      </c>
      <c r="B5" s="7" t="s">
        <v>80</v>
      </c>
      <c r="C5" s="7" t="s">
        <v>46</v>
      </c>
      <c r="D5" s="7" t="s">
        <v>81</v>
      </c>
      <c r="E5" s="7" t="s">
        <v>82</v>
      </c>
      <c r="F5" s="8" t="n">
        <v>2024</v>
      </c>
      <c r="G5" s="7" t="s">
        <v>83</v>
      </c>
      <c r="H5" s="8" t="s">
        <v>63</v>
      </c>
      <c r="I5" s="7" t="s">
        <v>64</v>
      </c>
      <c r="J5" s="8"/>
      <c r="K5" s="8" t="s">
        <v>53</v>
      </c>
      <c r="L5" s="7" t="s">
        <v>84</v>
      </c>
      <c r="M5" s="7" t="s">
        <v>85</v>
      </c>
      <c r="N5" s="7" t="s">
        <v>67</v>
      </c>
      <c r="O5" s="12" t="n">
        <v>45385</v>
      </c>
      <c r="P5" s="12" t="n">
        <v>45473</v>
      </c>
      <c r="Q5" s="8"/>
      <c r="R5" s="8"/>
      <c r="S5" s="9" t="str">
        <f aca="false">IF(AND(N5&lt;&gt;"",O5&lt;&gt;""),"○",IF(N5&lt;&gt;"","△","×"))</f>
        <v>○</v>
      </c>
      <c r="T5" s="9" t="str">
        <f aca="false">IF(Q5&lt;&gt;"","○","×")</f>
        <v>×</v>
      </c>
      <c r="U5" s="10" t="str">
        <f aca="true">IF(L5="","対策未記載",IF(Q5&lt;&gt;"","完了（有効性未評価）",IF(AND(P5&lt;&gt;"",P5&lt;TODAY()),"期限超過",IF(O5="","承認日なし","対応中（期限未設定）"))))</f>
        <v>期限超過</v>
      </c>
      <c r="V5" s="8" t="s">
        <v>86</v>
      </c>
      <c r="W5" s="13" t="s">
        <v>87</v>
      </c>
      <c r="X5" s="7" t="s">
        <v>88</v>
      </c>
      <c r="Y5" s="11"/>
      <c r="Z5" s="11"/>
    </row>
    <row r="6" customFormat="false" ht="90" hidden="false" customHeight="true" outlineLevel="0" collapsed="false">
      <c r="A6" s="8" t="n">
        <v>56</v>
      </c>
      <c r="B6" s="7" t="s">
        <v>89</v>
      </c>
      <c r="C6" s="7" t="s">
        <v>46</v>
      </c>
      <c r="D6" s="7" t="s">
        <v>90</v>
      </c>
      <c r="E6" s="7" t="s">
        <v>91</v>
      </c>
      <c r="F6" s="8" t="n">
        <v>2024</v>
      </c>
      <c r="G6" s="8" t="s">
        <v>92</v>
      </c>
      <c r="H6" s="8" t="s">
        <v>93</v>
      </c>
      <c r="I6" s="8" t="s">
        <v>94</v>
      </c>
      <c r="J6" s="7" t="s">
        <v>95</v>
      </c>
      <c r="K6" s="8" t="s">
        <v>53</v>
      </c>
      <c r="L6" s="7" t="s">
        <v>96</v>
      </c>
      <c r="M6" s="7" t="s">
        <v>55</v>
      </c>
      <c r="N6" s="8"/>
      <c r="O6" s="8"/>
      <c r="P6" s="8"/>
      <c r="Q6" s="8"/>
      <c r="R6" s="8"/>
      <c r="S6" s="9" t="str">
        <f aca="false">IF(AND(N6&lt;&gt;"",O6&lt;&gt;""),"○",IF(N6&lt;&gt;"","△","×"))</f>
        <v>×</v>
      </c>
      <c r="T6" s="9" t="str">
        <f aca="false">IF(Q6&lt;&gt;"","○","×")</f>
        <v>×</v>
      </c>
      <c r="U6" s="10" t="str">
        <f aca="true">IF(L6="","対策未記載",IF(Q6&lt;&gt;"","完了（有効性未評価）",IF(AND(P6&lt;&gt;"",P6&lt;TODAY()),"期限超過",IF(O6="","承認日なし","対応中（期限未設定）"))))</f>
        <v>承認日なし</v>
      </c>
      <c r="V6" s="8" t="s">
        <v>97</v>
      </c>
      <c r="W6" s="8" t="s">
        <v>58</v>
      </c>
      <c r="X6" s="8"/>
      <c r="Y6" s="11"/>
      <c r="Z6" s="11"/>
    </row>
    <row r="7" customFormat="false" ht="90" hidden="false" customHeight="true" outlineLevel="0" collapsed="false">
      <c r="A7" s="8" t="n">
        <v>57</v>
      </c>
      <c r="B7" s="7" t="s">
        <v>98</v>
      </c>
      <c r="C7" s="7" t="s">
        <v>46</v>
      </c>
      <c r="D7" s="7" t="s">
        <v>99</v>
      </c>
      <c r="E7" s="7" t="s">
        <v>100</v>
      </c>
      <c r="F7" s="8" t="n">
        <v>2024</v>
      </c>
      <c r="G7" s="8" t="s">
        <v>101</v>
      </c>
      <c r="H7" s="8" t="s">
        <v>50</v>
      </c>
      <c r="I7" s="7" t="s">
        <v>51</v>
      </c>
      <c r="J7" s="7" t="s">
        <v>102</v>
      </c>
      <c r="K7" s="8" t="s">
        <v>103</v>
      </c>
      <c r="L7" s="8" t="s">
        <v>104</v>
      </c>
      <c r="M7" s="7" t="s">
        <v>55</v>
      </c>
      <c r="N7" s="7" t="s">
        <v>56</v>
      </c>
      <c r="O7" s="8"/>
      <c r="P7" s="8"/>
      <c r="Q7" s="8"/>
      <c r="R7" s="8"/>
      <c r="S7" s="9" t="str">
        <f aca="false">IF(AND(N7&lt;&gt;"",O7&lt;&gt;""),"○",IF(N7&lt;&gt;"","△","×"))</f>
        <v>△</v>
      </c>
      <c r="T7" s="9" t="str">
        <f aca="false">IF(Q7&lt;&gt;"","○","×")</f>
        <v>×</v>
      </c>
      <c r="U7" s="10" t="str">
        <f aca="true">IF(L7="","対策未記載",IF(Q7&lt;&gt;"","完了（有効性未評価）",IF(AND(P7&lt;&gt;"",P7&lt;TODAY()),"期限超過",IF(O7="","承認日なし","対応中（期限未設定）"))))</f>
        <v>承認日なし</v>
      </c>
      <c r="V7" s="8" t="s">
        <v>101</v>
      </c>
      <c r="W7" s="8" t="s">
        <v>58</v>
      </c>
      <c r="X7" s="8"/>
      <c r="Y7" s="11"/>
      <c r="Z7" s="11"/>
    </row>
    <row r="8" customFormat="false" ht="90" hidden="false" customHeight="true" outlineLevel="0" collapsed="false">
      <c r="A8" s="8" t="n">
        <v>58</v>
      </c>
      <c r="B8" s="7" t="s">
        <v>105</v>
      </c>
      <c r="C8" s="7" t="s">
        <v>46</v>
      </c>
      <c r="D8" s="7" t="s">
        <v>106</v>
      </c>
      <c r="E8" s="7" t="s">
        <v>107</v>
      </c>
      <c r="F8" s="8" t="n">
        <v>2024</v>
      </c>
      <c r="G8" s="8" t="s">
        <v>108</v>
      </c>
      <c r="H8" s="8" t="s">
        <v>93</v>
      </c>
      <c r="I8" s="7" t="s">
        <v>51</v>
      </c>
      <c r="J8" s="7" t="s">
        <v>102</v>
      </c>
      <c r="K8" s="8" t="s">
        <v>109</v>
      </c>
      <c r="L8" s="8" t="s">
        <v>110</v>
      </c>
      <c r="M8" s="8"/>
      <c r="N8" s="8"/>
      <c r="O8" s="8"/>
      <c r="P8" s="8"/>
      <c r="Q8" s="8"/>
      <c r="R8" s="8"/>
      <c r="S8" s="9" t="str">
        <f aca="false">IF(AND(N8&lt;&gt;"",O8&lt;&gt;""),"○",IF(N8&lt;&gt;"","△","×"))</f>
        <v>×</v>
      </c>
      <c r="T8" s="9" t="str">
        <f aca="false">IF(Q8&lt;&gt;"","○","×")</f>
        <v>×</v>
      </c>
      <c r="U8" s="10" t="str">
        <f aca="true">IF(L8="","対策未記載",IF(Q8&lt;&gt;"","完了（有効性未評価）",IF(AND(P8&lt;&gt;"",P8&lt;TODAY()),"期限超過",IF(O8="","承認日なし","対応中（期限未設定）"))))</f>
        <v>承認日なし</v>
      </c>
      <c r="V8" s="8" t="s">
        <v>97</v>
      </c>
      <c r="W8" s="8" t="s">
        <v>58</v>
      </c>
      <c r="X8" s="8"/>
      <c r="Y8" s="11"/>
      <c r="Z8" s="11"/>
    </row>
    <row r="9" customFormat="false" ht="90" hidden="false" customHeight="true" outlineLevel="0" collapsed="false">
      <c r="A9" s="8" t="n">
        <v>59</v>
      </c>
      <c r="B9" s="7" t="s">
        <v>111</v>
      </c>
      <c r="C9" s="7" t="s">
        <v>46</v>
      </c>
      <c r="D9" s="7" t="s">
        <v>112</v>
      </c>
      <c r="E9" s="7" t="s">
        <v>112</v>
      </c>
      <c r="F9" s="8" t="n">
        <v>2024</v>
      </c>
      <c r="G9" s="8" t="s">
        <v>113</v>
      </c>
      <c r="H9" s="8" t="s">
        <v>50</v>
      </c>
      <c r="I9" s="7" t="s">
        <v>64</v>
      </c>
      <c r="J9" s="7" t="s">
        <v>114</v>
      </c>
      <c r="K9" s="8" t="s">
        <v>53</v>
      </c>
      <c r="L9" s="7" t="s">
        <v>115</v>
      </c>
      <c r="M9" s="8"/>
      <c r="N9" s="7" t="s">
        <v>67</v>
      </c>
      <c r="O9" s="12" t="n">
        <v>45525</v>
      </c>
      <c r="P9" s="12" t="n">
        <v>45535</v>
      </c>
      <c r="Q9" s="8"/>
      <c r="R9" s="8"/>
      <c r="S9" s="9" t="str">
        <f aca="false">IF(AND(N9&lt;&gt;"",O9&lt;&gt;""),"○",IF(N9&lt;&gt;"","△","×"))</f>
        <v>○</v>
      </c>
      <c r="T9" s="9" t="str">
        <f aca="false">IF(Q9&lt;&gt;"","○","×")</f>
        <v>×</v>
      </c>
      <c r="U9" s="10" t="str">
        <f aca="true">IF(L9="","対策未記載",IF(Q9&lt;&gt;"","完了（有効性未評価）",IF(AND(P9&lt;&gt;"",P9&lt;TODAY()),"期限超過",IF(O9="","承認日なし","対応中（期限未設定）"))))</f>
        <v>期限超過</v>
      </c>
      <c r="V9" s="8" t="s">
        <v>86</v>
      </c>
      <c r="W9" s="13" t="s">
        <v>87</v>
      </c>
      <c r="X9" s="7" t="s">
        <v>116</v>
      </c>
      <c r="Y9" s="11"/>
      <c r="Z9" s="11"/>
    </row>
    <row r="10" customFormat="false" ht="90" hidden="false" customHeight="true" outlineLevel="0" collapsed="false">
      <c r="A10" s="8" t="n">
        <v>60</v>
      </c>
      <c r="B10" s="7" t="s">
        <v>117</v>
      </c>
      <c r="C10" s="7" t="s">
        <v>46</v>
      </c>
      <c r="D10" s="7" t="s">
        <v>118</v>
      </c>
      <c r="E10" s="7" t="s">
        <v>119</v>
      </c>
      <c r="F10" s="8" t="n">
        <v>2024</v>
      </c>
      <c r="G10" s="8" t="s">
        <v>120</v>
      </c>
      <c r="H10" s="8" t="s">
        <v>50</v>
      </c>
      <c r="I10" s="7" t="s">
        <v>51</v>
      </c>
      <c r="J10" s="7" t="s">
        <v>121</v>
      </c>
      <c r="K10" s="8" t="s">
        <v>53</v>
      </c>
      <c r="L10" s="8"/>
      <c r="M10" s="8"/>
      <c r="N10" s="7" t="s">
        <v>56</v>
      </c>
      <c r="O10" s="8"/>
      <c r="P10" s="8"/>
      <c r="Q10" s="8"/>
      <c r="R10" s="8"/>
      <c r="S10" s="9" t="str">
        <f aca="false">IF(AND(N10&lt;&gt;"",O10&lt;&gt;""),"○",IF(N10&lt;&gt;"","△","×"))</f>
        <v>△</v>
      </c>
      <c r="T10" s="9" t="str">
        <f aca="false">IF(Q10&lt;&gt;"","○","×")</f>
        <v>×</v>
      </c>
      <c r="U10" s="10" t="str">
        <f aca="true">IF(L10="","対策未記載",IF(Q10&lt;&gt;"","完了（有効性未評価）",IF(AND(P10&lt;&gt;"",P10&lt;TODAY()),"期限超過",IF(O10="","承認日なし","対応中（期限未設定）"))))</f>
        <v>対策未記載</v>
      </c>
      <c r="V10" s="8" t="s">
        <v>68</v>
      </c>
      <c r="W10" s="8" t="s">
        <v>58</v>
      </c>
      <c r="X10" s="8" t="s">
        <v>122</v>
      </c>
      <c r="Y10" s="11"/>
      <c r="Z10" s="11"/>
    </row>
    <row r="11" customFormat="false" ht="90" hidden="false" customHeight="true" outlineLevel="0" collapsed="false">
      <c r="A11" s="8" t="n">
        <v>61</v>
      </c>
      <c r="B11" s="7" t="s">
        <v>123</v>
      </c>
      <c r="C11" s="7" t="s">
        <v>46</v>
      </c>
      <c r="D11" s="7" t="s">
        <v>124</v>
      </c>
      <c r="E11" s="7" t="s">
        <v>124</v>
      </c>
      <c r="F11" s="8" t="n">
        <v>2024</v>
      </c>
      <c r="G11" s="7" t="s">
        <v>125</v>
      </c>
      <c r="H11" s="8" t="s">
        <v>50</v>
      </c>
      <c r="I11" s="7" t="s">
        <v>64</v>
      </c>
      <c r="J11" s="7" t="s">
        <v>126</v>
      </c>
      <c r="K11" s="8" t="s">
        <v>53</v>
      </c>
      <c r="L11" s="8" t="s">
        <v>127</v>
      </c>
      <c r="M11" s="7" t="s">
        <v>55</v>
      </c>
      <c r="N11" s="7" t="s">
        <v>128</v>
      </c>
      <c r="O11" s="8"/>
      <c r="P11" s="8"/>
      <c r="Q11" s="8"/>
      <c r="R11" s="8"/>
      <c r="S11" s="9" t="str">
        <f aca="false">IF(AND(N11&lt;&gt;"",O11&lt;&gt;""),"○",IF(N11&lt;&gt;"","△","×"))</f>
        <v>△</v>
      </c>
      <c r="T11" s="9" t="str">
        <f aca="false">IF(Q11&lt;&gt;"","○","×")</f>
        <v>×</v>
      </c>
      <c r="U11" s="10" t="str">
        <f aca="true">IF(L11="","対策未記載",IF(Q11&lt;&gt;"","完了（有効性未評価）",IF(AND(P11&lt;&gt;"",P11&lt;TODAY()),"期限超過",IF(O11="","承認日なし","対応中（期限未設定）"))))</f>
        <v>承認日なし</v>
      </c>
      <c r="V11" s="8" t="s">
        <v>129</v>
      </c>
      <c r="W11" s="13" t="s">
        <v>130</v>
      </c>
      <c r="X11" s="8" t="s">
        <v>131</v>
      </c>
      <c r="Y11" s="11"/>
      <c r="Z11" s="11"/>
    </row>
    <row r="12" customFormat="false" ht="90" hidden="false" customHeight="true" outlineLevel="0" collapsed="false">
      <c r="A12" s="8" t="n">
        <v>62</v>
      </c>
      <c r="B12" s="7" t="s">
        <v>132</v>
      </c>
      <c r="C12" s="7" t="s">
        <v>46</v>
      </c>
      <c r="D12" s="7" t="s">
        <v>133</v>
      </c>
      <c r="E12" s="7" t="s">
        <v>133</v>
      </c>
      <c r="F12" s="8" t="n">
        <v>2025</v>
      </c>
      <c r="G12" s="8" t="s">
        <v>134</v>
      </c>
      <c r="H12" s="8" t="s">
        <v>50</v>
      </c>
      <c r="I12" s="7" t="s">
        <v>64</v>
      </c>
      <c r="J12" s="7" t="s">
        <v>135</v>
      </c>
      <c r="K12" s="8" t="s">
        <v>53</v>
      </c>
      <c r="L12" s="8" t="s">
        <v>136</v>
      </c>
      <c r="M12" s="8"/>
      <c r="N12" s="7" t="s">
        <v>128</v>
      </c>
      <c r="O12" s="8"/>
      <c r="P12" s="8"/>
      <c r="Q12" s="8"/>
      <c r="R12" s="8"/>
      <c r="S12" s="9" t="str">
        <f aca="false">IF(AND(N12&lt;&gt;"",O12&lt;&gt;""),"○",IF(N12&lt;&gt;"","△","×"))</f>
        <v>△</v>
      </c>
      <c r="T12" s="9" t="str">
        <f aca="false">IF(Q12&lt;&gt;"","○","×")</f>
        <v>×</v>
      </c>
      <c r="U12" s="10" t="str">
        <f aca="true">IF(L12="","対策未記載",IF(Q12&lt;&gt;"","完了（有効性未評価）",IF(AND(P12&lt;&gt;"",P12&lt;TODAY()),"期限超過",IF(O12="","承認日なし","対応中（期限未設定）"))))</f>
        <v>承認日なし</v>
      </c>
      <c r="V12" s="8" t="s">
        <v>129</v>
      </c>
      <c r="W12" s="13" t="s">
        <v>130</v>
      </c>
      <c r="X12" s="7" t="s">
        <v>137</v>
      </c>
      <c r="Y12" s="11"/>
      <c r="Z12" s="11"/>
    </row>
    <row r="13" customFormat="false" ht="90" hidden="false" customHeight="true" outlineLevel="0" collapsed="false">
      <c r="A13" s="8" t="n">
        <v>63</v>
      </c>
      <c r="B13" s="7" t="s">
        <v>138</v>
      </c>
      <c r="C13" s="7" t="s">
        <v>46</v>
      </c>
      <c r="D13" s="7" t="s">
        <v>139</v>
      </c>
      <c r="E13" s="7" t="s">
        <v>139</v>
      </c>
      <c r="F13" s="8" t="n">
        <v>2025</v>
      </c>
      <c r="G13" s="8" t="s">
        <v>140</v>
      </c>
      <c r="H13" s="8" t="s">
        <v>50</v>
      </c>
      <c r="I13" s="7" t="s">
        <v>64</v>
      </c>
      <c r="J13" s="7" t="s">
        <v>141</v>
      </c>
      <c r="K13" s="8" t="s">
        <v>53</v>
      </c>
      <c r="L13" s="8" t="s">
        <v>142</v>
      </c>
      <c r="M13" s="7" t="s">
        <v>55</v>
      </c>
      <c r="N13" s="7" t="s">
        <v>128</v>
      </c>
      <c r="O13" s="8"/>
      <c r="P13" s="8"/>
      <c r="Q13" s="8"/>
      <c r="R13" s="8"/>
      <c r="S13" s="9" t="str">
        <f aca="false">IF(AND(N13&lt;&gt;"",O13&lt;&gt;""),"○",IF(N13&lt;&gt;"","△","×"))</f>
        <v>△</v>
      </c>
      <c r="T13" s="9" t="str">
        <f aca="false">IF(Q13&lt;&gt;"","○","×")</f>
        <v>×</v>
      </c>
      <c r="U13" s="10" t="str">
        <f aca="true">IF(L13="","対策未記載",IF(Q13&lt;&gt;"","完了（有効性未評価）",IF(AND(P13&lt;&gt;"",P13&lt;TODAY()),"期限超過",IF(O13="","承認日なし","対応中（期限未設定）"))))</f>
        <v>承認日なし</v>
      </c>
      <c r="V13" s="8" t="s">
        <v>143</v>
      </c>
      <c r="W13" s="7" t="s">
        <v>144</v>
      </c>
      <c r="X13" s="8"/>
      <c r="Y13" s="11"/>
      <c r="Z13" s="11"/>
    </row>
    <row r="14" customFormat="false" ht="90" hidden="false" customHeight="true" outlineLevel="0" collapsed="false">
      <c r="A14" s="8" t="n">
        <v>64</v>
      </c>
      <c r="B14" s="7" t="s">
        <v>145</v>
      </c>
      <c r="C14" s="7" t="s">
        <v>46</v>
      </c>
      <c r="D14" s="7" t="s">
        <v>146</v>
      </c>
      <c r="E14" s="7" t="s">
        <v>146</v>
      </c>
      <c r="F14" s="8" t="n">
        <v>2025</v>
      </c>
      <c r="G14" s="8" t="s">
        <v>147</v>
      </c>
      <c r="H14" s="8" t="s">
        <v>63</v>
      </c>
      <c r="I14" s="7" t="s">
        <v>64</v>
      </c>
      <c r="J14" s="7" t="s">
        <v>148</v>
      </c>
      <c r="K14" s="7" t="s">
        <v>148</v>
      </c>
      <c r="L14" s="8" t="s">
        <v>149</v>
      </c>
      <c r="M14" s="7" t="s">
        <v>55</v>
      </c>
      <c r="N14" s="7" t="s">
        <v>128</v>
      </c>
      <c r="O14" s="8"/>
      <c r="P14" s="8"/>
      <c r="Q14" s="8"/>
      <c r="R14" s="8"/>
      <c r="S14" s="9" t="str">
        <f aca="false">IF(AND(N14&lt;&gt;"",O14&lt;&gt;""),"○",IF(N14&lt;&gt;"","△","×"))</f>
        <v>△</v>
      </c>
      <c r="T14" s="9" t="str">
        <f aca="false">IF(Q14&lt;&gt;"","○","×")</f>
        <v>×</v>
      </c>
      <c r="U14" s="10" t="str">
        <f aca="true">IF(L14="","対策未記載",IF(Q14&lt;&gt;"","完了（有効性未評価）",IF(AND(P14&lt;&gt;"",P14&lt;TODAY()),"期限超過",IF(O14="","承認日なし","対応中（期限未設定）"))))</f>
        <v>承認日なし</v>
      </c>
      <c r="V14" s="8" t="s">
        <v>77</v>
      </c>
      <c r="W14" s="13" t="s">
        <v>78</v>
      </c>
      <c r="X14" s="8" t="s">
        <v>150</v>
      </c>
      <c r="Y14" s="11"/>
      <c r="Z14" s="11"/>
    </row>
    <row r="15" customFormat="false" ht="90" hidden="false" customHeight="true" outlineLevel="0" collapsed="false">
      <c r="A15" s="8" t="n">
        <v>65</v>
      </c>
      <c r="B15" s="7" t="s">
        <v>151</v>
      </c>
      <c r="C15" s="8" t="s">
        <v>152</v>
      </c>
      <c r="D15" s="7" t="s">
        <v>153</v>
      </c>
      <c r="E15" s="7" t="s">
        <v>153</v>
      </c>
      <c r="F15" s="8" t="n">
        <v>2025</v>
      </c>
      <c r="G15" s="7" t="s">
        <v>154</v>
      </c>
      <c r="H15" s="8" t="s">
        <v>50</v>
      </c>
      <c r="I15" s="7" t="s">
        <v>155</v>
      </c>
      <c r="J15" s="7" t="s">
        <v>156</v>
      </c>
      <c r="K15" s="7" t="s">
        <v>156</v>
      </c>
      <c r="L15" s="8" t="s">
        <v>157</v>
      </c>
      <c r="M15" s="8"/>
      <c r="N15" s="7" t="s">
        <v>56</v>
      </c>
      <c r="O15" s="8"/>
      <c r="P15" s="8"/>
      <c r="Q15" s="8"/>
      <c r="R15" s="8"/>
      <c r="S15" s="9" t="str">
        <f aca="false">IF(AND(N15&lt;&gt;"",O15&lt;&gt;""),"○",IF(N15&lt;&gt;"","△","×"))</f>
        <v>△</v>
      </c>
      <c r="T15" s="9" t="str">
        <f aca="false">IF(Q15&lt;&gt;"","○","×")</f>
        <v>×</v>
      </c>
      <c r="U15" s="10" t="str">
        <f aca="true">IF(L15="","対策未記載",IF(Q15&lt;&gt;"","完了（有効性未評価）",IF(AND(P15&lt;&gt;"",P15&lt;TODAY()),"期限超過",IF(O15="","承認日なし","対応中（期限未設定）"))))</f>
        <v>承認日なし</v>
      </c>
      <c r="V15" s="8" t="s">
        <v>158</v>
      </c>
      <c r="W15" s="8" t="s">
        <v>58</v>
      </c>
      <c r="X15" s="8"/>
      <c r="Y15" s="11"/>
      <c r="Z15" s="11"/>
    </row>
    <row r="16" customFormat="false" ht="90" hidden="false" customHeight="true" outlineLevel="0" collapsed="false">
      <c r="A16" s="8" t="n">
        <v>66</v>
      </c>
      <c r="B16" s="7" t="s">
        <v>159</v>
      </c>
      <c r="C16" s="7" t="s">
        <v>46</v>
      </c>
      <c r="D16" s="7" t="s">
        <v>160</v>
      </c>
      <c r="E16" s="7" t="s">
        <v>161</v>
      </c>
      <c r="F16" s="8" t="n">
        <v>2025</v>
      </c>
      <c r="G16" s="8" t="s">
        <v>162</v>
      </c>
      <c r="H16" s="8" t="s">
        <v>50</v>
      </c>
      <c r="I16" s="7" t="s">
        <v>64</v>
      </c>
      <c r="J16" s="7" t="s">
        <v>163</v>
      </c>
      <c r="K16" s="8" t="s">
        <v>53</v>
      </c>
      <c r="L16" s="8" t="s">
        <v>164</v>
      </c>
      <c r="M16" s="7" t="s">
        <v>55</v>
      </c>
      <c r="N16" s="8"/>
      <c r="O16" s="8"/>
      <c r="P16" s="8"/>
      <c r="Q16" s="8"/>
      <c r="R16" s="8"/>
      <c r="S16" s="9" t="str">
        <f aca="false">IF(AND(N16&lt;&gt;"",O16&lt;&gt;""),"○",IF(N16&lt;&gt;"","△","×"))</f>
        <v>×</v>
      </c>
      <c r="T16" s="9" t="str">
        <f aca="false">IF(Q16&lt;&gt;"","○","×")</f>
        <v>×</v>
      </c>
      <c r="U16" s="10" t="str">
        <f aca="true">IF(L16="","対策未記載",IF(Q16&lt;&gt;"","完了（有効性未評価）",IF(AND(P16&lt;&gt;"",P16&lt;TODAY()),"期限超過",IF(O16="","承認日なし","対応中（期限未設定）"))))</f>
        <v>承認日なし</v>
      </c>
      <c r="V16" s="8" t="s">
        <v>165</v>
      </c>
      <c r="W16" s="7" t="s">
        <v>144</v>
      </c>
      <c r="X16" s="8" t="s">
        <v>166</v>
      </c>
      <c r="Y16" s="11"/>
      <c r="Z16" s="11"/>
    </row>
    <row r="17" customFormat="false" ht="90" hidden="false" customHeight="true" outlineLevel="0" collapsed="false">
      <c r="A17" s="8" t="n">
        <v>67</v>
      </c>
      <c r="B17" s="7" t="s">
        <v>167</v>
      </c>
      <c r="C17" s="8" t="s">
        <v>152</v>
      </c>
      <c r="D17" s="7" t="s">
        <v>168</v>
      </c>
      <c r="E17" s="7" t="s">
        <v>168</v>
      </c>
      <c r="F17" s="8" t="n">
        <v>2025</v>
      </c>
      <c r="G17" s="8" t="s">
        <v>169</v>
      </c>
      <c r="H17" s="8" t="s">
        <v>50</v>
      </c>
      <c r="I17" s="7" t="s">
        <v>51</v>
      </c>
      <c r="J17" s="7" t="s">
        <v>102</v>
      </c>
      <c r="K17" s="8" t="s">
        <v>53</v>
      </c>
      <c r="L17" s="8" t="s">
        <v>170</v>
      </c>
      <c r="M17" s="7" t="s">
        <v>171</v>
      </c>
      <c r="N17" s="7" t="s">
        <v>56</v>
      </c>
      <c r="O17" s="8"/>
      <c r="P17" s="8"/>
      <c r="Q17" s="8"/>
      <c r="R17" s="8"/>
      <c r="S17" s="9" t="str">
        <f aca="false">IF(AND(N17&lt;&gt;"",O17&lt;&gt;""),"○",IF(N17&lt;&gt;"","△","×"))</f>
        <v>△</v>
      </c>
      <c r="T17" s="9" t="str">
        <f aca="false">IF(Q17&lt;&gt;"","○","×")</f>
        <v>×</v>
      </c>
      <c r="U17" s="10" t="str">
        <f aca="true">IF(L17="","対策未記載",IF(Q17&lt;&gt;"","完了（有効性未評価）",IF(AND(P17&lt;&gt;"",P17&lt;TODAY()),"期限超過",IF(O17="","承認日なし","対応中（期限未設定）"))))</f>
        <v>承認日なし</v>
      </c>
      <c r="V17" s="8" t="s">
        <v>165</v>
      </c>
      <c r="W17" s="8" t="s">
        <v>58</v>
      </c>
      <c r="X17" s="8"/>
      <c r="Y17" s="11"/>
      <c r="Z17" s="11"/>
    </row>
    <row r="18" customFormat="false" ht="90" hidden="false" customHeight="true" outlineLevel="0" collapsed="false">
      <c r="A18" s="8" t="n">
        <v>68</v>
      </c>
      <c r="B18" s="7" t="s">
        <v>172</v>
      </c>
      <c r="C18" s="7" t="s">
        <v>46</v>
      </c>
      <c r="D18" s="7" t="s">
        <v>173</v>
      </c>
      <c r="E18" s="7" t="s">
        <v>174</v>
      </c>
      <c r="F18" s="8" t="n">
        <v>2025</v>
      </c>
      <c r="G18" s="8" t="s">
        <v>175</v>
      </c>
      <c r="H18" s="8" t="s">
        <v>50</v>
      </c>
      <c r="I18" s="7" t="s">
        <v>64</v>
      </c>
      <c r="J18" s="7" t="s">
        <v>176</v>
      </c>
      <c r="K18" s="8" t="s">
        <v>53</v>
      </c>
      <c r="L18" s="8" t="s">
        <v>177</v>
      </c>
      <c r="M18" s="7" t="s">
        <v>55</v>
      </c>
      <c r="N18" s="7" t="s">
        <v>128</v>
      </c>
      <c r="O18" s="8"/>
      <c r="P18" s="8"/>
      <c r="Q18" s="8"/>
      <c r="R18" s="8"/>
      <c r="S18" s="9" t="str">
        <f aca="false">IF(AND(N18&lt;&gt;"",O18&lt;&gt;""),"○",IF(N18&lt;&gt;"","△","×"))</f>
        <v>△</v>
      </c>
      <c r="T18" s="9" t="str">
        <f aca="false">IF(Q18&lt;&gt;"","○","×")</f>
        <v>×</v>
      </c>
      <c r="U18" s="10" t="str">
        <f aca="true">IF(L18="","対策未記載",IF(Q18&lt;&gt;"","完了（有効性未評価）",IF(AND(P18&lt;&gt;"",P18&lt;TODAY()),"期限超過",IF(O18="","承認日なし","対応中（期限未設定）"))))</f>
        <v>承認日なし</v>
      </c>
      <c r="V18" s="8" t="s">
        <v>68</v>
      </c>
      <c r="W18" s="13" t="s">
        <v>69</v>
      </c>
      <c r="X18" s="7" t="s">
        <v>178</v>
      </c>
      <c r="Y18" s="11"/>
      <c r="Z18" s="11"/>
    </row>
    <row r="19" customFormat="false" ht="90" hidden="false" customHeight="true" outlineLevel="0" collapsed="false">
      <c r="A19" s="14" t="n">
        <v>69</v>
      </c>
      <c r="B19" s="14" t="s">
        <v>179</v>
      </c>
      <c r="C19" s="14" t="s">
        <v>46</v>
      </c>
      <c r="D19" s="14" t="s">
        <v>180</v>
      </c>
      <c r="E19" s="14" t="s">
        <v>181</v>
      </c>
      <c r="F19" s="14" t="n">
        <v>2025</v>
      </c>
      <c r="G19" s="15" t="s">
        <v>182</v>
      </c>
      <c r="H19" s="15" t="s">
        <v>50</v>
      </c>
      <c r="I19" s="14" t="s">
        <v>64</v>
      </c>
      <c r="J19" s="14" t="s">
        <v>183</v>
      </c>
      <c r="K19" s="15" t="s">
        <v>53</v>
      </c>
      <c r="L19" s="15"/>
      <c r="M19" s="14" t="s">
        <v>55</v>
      </c>
      <c r="N19" s="14" t="s">
        <v>67</v>
      </c>
      <c r="O19" s="15"/>
      <c r="P19" s="15"/>
      <c r="Q19" s="15"/>
      <c r="R19" s="15"/>
      <c r="S19" s="9" t="str">
        <f aca="false">IF(AND(N19&lt;&gt;"",O19&lt;&gt;""),"○",IF(N19&lt;&gt;"","△","×"))</f>
        <v>△</v>
      </c>
      <c r="T19" s="9" t="str">
        <f aca="false">IF(Q19&lt;&gt;"","○","×")</f>
        <v>×</v>
      </c>
      <c r="U19" s="10" t="str">
        <f aca="true">IF(L19="","対策未記載",IF(Q19&lt;&gt;"","完了（有効性未評価）",IF(AND(P19&lt;&gt;"",P19&lt;TODAY()),"期限超過",IF(O19="","承認日なし","対応中（期限未設定）"))))</f>
        <v>対策未記載</v>
      </c>
      <c r="V19" s="8" t="s">
        <v>184</v>
      </c>
      <c r="W19" s="7" t="s">
        <v>144</v>
      </c>
      <c r="X19" s="7" t="s">
        <v>185</v>
      </c>
      <c r="Y19" s="11"/>
      <c r="Z19" s="11"/>
    </row>
    <row r="20" customFormat="false" ht="90" hidden="false" customHeight="true" outlineLevel="0" collapsed="false">
      <c r="A20" s="15" t="n">
        <v>70</v>
      </c>
      <c r="B20" s="14" t="s">
        <v>186</v>
      </c>
      <c r="C20" s="14" t="s">
        <v>46</v>
      </c>
      <c r="D20" s="14" t="s">
        <v>187</v>
      </c>
      <c r="E20" s="14" t="s">
        <v>187</v>
      </c>
      <c r="F20" s="15" t="n">
        <v>2025</v>
      </c>
      <c r="G20" s="15" t="s">
        <v>188</v>
      </c>
      <c r="H20" s="15" t="s">
        <v>63</v>
      </c>
      <c r="I20" s="14" t="s">
        <v>64</v>
      </c>
      <c r="J20" s="14" t="s">
        <v>189</v>
      </c>
      <c r="K20" s="15"/>
      <c r="L20" s="15"/>
      <c r="M20" s="15"/>
      <c r="N20" s="14" t="s">
        <v>67</v>
      </c>
      <c r="O20" s="15"/>
      <c r="P20" s="15"/>
      <c r="Q20" s="15"/>
      <c r="R20" s="15"/>
      <c r="S20" s="9" t="str">
        <f aca="false">IF(AND(N20&lt;&gt;"",O20&lt;&gt;""),"○",IF(N20&lt;&gt;"","△","×"))</f>
        <v>△</v>
      </c>
      <c r="T20" s="9" t="str">
        <f aca="false">IF(Q20&lt;&gt;"","○","×")</f>
        <v>×</v>
      </c>
      <c r="U20" s="10" t="str">
        <f aca="true">IF(L20="","対策未記載",IF(Q20&lt;&gt;"","完了（有効性未評価）",IF(AND(P20&lt;&gt;"",P20&lt;TODAY()),"期限超過",IF(O20="","承認日なし","対応中（期限未設定）"))))</f>
        <v>対策未記載</v>
      </c>
      <c r="V20" s="8" t="s">
        <v>184</v>
      </c>
      <c r="W20" s="7" t="s">
        <v>144</v>
      </c>
      <c r="X20" s="8" t="s">
        <v>190</v>
      </c>
      <c r="Y20" s="11"/>
      <c r="Z20" s="11"/>
    </row>
    <row r="21" customFormat="false" ht="90" hidden="false" customHeight="true" outlineLevel="0" collapsed="false">
      <c r="A21" s="15" t="n">
        <v>71</v>
      </c>
      <c r="B21" s="14" t="s">
        <v>191</v>
      </c>
      <c r="C21" s="14" t="s">
        <v>46</v>
      </c>
      <c r="D21" s="14" t="s">
        <v>192</v>
      </c>
      <c r="E21" s="14" t="s">
        <v>192</v>
      </c>
      <c r="F21" s="15" t="n">
        <v>2025</v>
      </c>
      <c r="G21" s="15" t="s">
        <v>193</v>
      </c>
      <c r="H21" s="15"/>
      <c r="I21" s="14" t="s">
        <v>64</v>
      </c>
      <c r="J21" s="15" t="s">
        <v>194</v>
      </c>
      <c r="K21" s="15"/>
      <c r="L21" s="15"/>
      <c r="M21" s="15"/>
      <c r="N21" s="14" t="s">
        <v>67</v>
      </c>
      <c r="O21" s="15"/>
      <c r="P21" s="15"/>
      <c r="Q21" s="15"/>
      <c r="R21" s="15"/>
      <c r="S21" s="9" t="str">
        <f aca="false">IF(AND(N21&lt;&gt;"",O21&lt;&gt;""),"○",IF(N21&lt;&gt;"","△","×"))</f>
        <v>△</v>
      </c>
      <c r="T21" s="9" t="str">
        <f aca="false">IF(Q21&lt;&gt;"","○","×")</f>
        <v>×</v>
      </c>
      <c r="U21" s="10" t="str">
        <f aca="true">IF(L21="","対策未記載",IF(Q21&lt;&gt;"","完了（有効性未評価）",IF(AND(P21&lt;&gt;"",P21&lt;TODAY()),"期限超過",IF(O21="","承認日なし","対応中（期限未設定）"))))</f>
        <v>対策未記載</v>
      </c>
      <c r="V21" s="8" t="s">
        <v>184</v>
      </c>
      <c r="W21" s="7" t="s">
        <v>144</v>
      </c>
      <c r="X21" s="8" t="s">
        <v>195</v>
      </c>
      <c r="Y21" s="11"/>
      <c r="Z21" s="11"/>
    </row>
    <row r="22" customFormat="false" ht="90" hidden="false" customHeight="true" outlineLevel="0" collapsed="false">
      <c r="A22" s="8" t="n">
        <v>72</v>
      </c>
      <c r="B22" s="7" t="s">
        <v>196</v>
      </c>
      <c r="C22" s="7" t="s">
        <v>46</v>
      </c>
      <c r="D22" s="7" t="s">
        <v>197</v>
      </c>
      <c r="E22" s="7" t="s">
        <v>198</v>
      </c>
      <c r="F22" s="8" t="n">
        <v>2025</v>
      </c>
      <c r="G22" s="8" t="s">
        <v>199</v>
      </c>
      <c r="H22" s="8" t="s">
        <v>50</v>
      </c>
      <c r="I22" s="7" t="s">
        <v>51</v>
      </c>
      <c r="J22" s="8" t="s">
        <v>200</v>
      </c>
      <c r="K22" s="8" t="s">
        <v>53</v>
      </c>
      <c r="L22" s="8"/>
      <c r="M22" s="8"/>
      <c r="N22" s="7" t="s">
        <v>56</v>
      </c>
      <c r="O22" s="8"/>
      <c r="P22" s="8"/>
      <c r="Q22" s="8"/>
      <c r="R22" s="8"/>
      <c r="S22" s="9" t="str">
        <f aca="false">IF(AND(N22&lt;&gt;"",O22&lt;&gt;""),"○",IF(N22&lt;&gt;"","△","×"))</f>
        <v>△</v>
      </c>
      <c r="T22" s="9" t="str">
        <f aca="false">IF(Q22&lt;&gt;"","○","×")</f>
        <v>×</v>
      </c>
      <c r="U22" s="10" t="str">
        <f aca="true">IF(L22="","対策未記載",IF(Q22&lt;&gt;"","完了（有効性未評価）",IF(AND(P22&lt;&gt;"",P22&lt;TODAY()),"期限超過",IF(O22="","承認日なし","対応中（期限未設定）"))))</f>
        <v>対策未記載</v>
      </c>
      <c r="V22" s="8" t="s">
        <v>201</v>
      </c>
      <c r="W22" s="8" t="s">
        <v>58</v>
      </c>
      <c r="X22" s="8"/>
      <c r="Y22" s="11"/>
      <c r="Z22" s="11"/>
    </row>
    <row r="23" customFormat="false" ht="90" hidden="false" customHeight="true" outlineLevel="0" collapsed="false">
      <c r="A23" s="15" t="n">
        <v>73</v>
      </c>
      <c r="B23" s="14" t="s">
        <v>202</v>
      </c>
      <c r="C23" s="14" t="s">
        <v>46</v>
      </c>
      <c r="D23" s="14" t="s">
        <v>203</v>
      </c>
      <c r="E23" s="14" t="s">
        <v>203</v>
      </c>
      <c r="F23" s="15" t="n">
        <v>2025</v>
      </c>
      <c r="G23" s="14" t="s">
        <v>204</v>
      </c>
      <c r="H23" s="15" t="s">
        <v>50</v>
      </c>
      <c r="I23" s="14" t="s">
        <v>64</v>
      </c>
      <c r="J23" s="15" t="s">
        <v>205</v>
      </c>
      <c r="K23" s="15"/>
      <c r="L23" s="15"/>
      <c r="M23" s="15"/>
      <c r="N23" s="14" t="s">
        <v>67</v>
      </c>
      <c r="O23" s="15"/>
      <c r="P23" s="15"/>
      <c r="Q23" s="15"/>
      <c r="R23" s="15"/>
      <c r="S23" s="9" t="str">
        <f aca="false">IF(AND(N23&lt;&gt;"",O23&lt;&gt;""),"○",IF(N23&lt;&gt;"","△","×"))</f>
        <v>△</v>
      </c>
      <c r="T23" s="9" t="str">
        <f aca="false">IF(Q23&lt;&gt;"","○","×")</f>
        <v>×</v>
      </c>
      <c r="U23" s="10" t="str">
        <f aca="true">IF(L23="","対策未記載",IF(Q23&lt;&gt;"","完了（有効性未評価）",IF(AND(P23&lt;&gt;"",P23&lt;TODAY()),"期限超過",IF(O23="","承認日なし","対応中（期限未設定）"))))</f>
        <v>対策未記載</v>
      </c>
      <c r="V23" s="8" t="s">
        <v>201</v>
      </c>
      <c r="W23" s="7" t="s">
        <v>144</v>
      </c>
      <c r="X23" s="7" t="s">
        <v>206</v>
      </c>
      <c r="Y23" s="11"/>
      <c r="Z23" s="11"/>
    </row>
    <row r="24" customFormat="false" ht="90" hidden="false" customHeight="true" outlineLevel="0" collapsed="false">
      <c r="A24" s="15" t="n">
        <v>74</v>
      </c>
      <c r="B24" s="14" t="s">
        <v>207</v>
      </c>
      <c r="C24" s="14" t="s">
        <v>46</v>
      </c>
      <c r="D24" s="14" t="s">
        <v>208</v>
      </c>
      <c r="E24" s="14" t="s">
        <v>209</v>
      </c>
      <c r="F24" s="15" t="n">
        <v>2025</v>
      </c>
      <c r="G24" s="14" t="s">
        <v>210</v>
      </c>
      <c r="H24" s="15" t="s">
        <v>211</v>
      </c>
      <c r="I24" s="14" t="s">
        <v>64</v>
      </c>
      <c r="J24" s="14" t="s">
        <v>212</v>
      </c>
      <c r="K24" s="15"/>
      <c r="L24" s="15"/>
      <c r="M24" s="15"/>
      <c r="N24" s="14" t="s">
        <v>67</v>
      </c>
      <c r="O24" s="15"/>
      <c r="P24" s="15"/>
      <c r="Q24" s="15"/>
      <c r="R24" s="15"/>
      <c r="S24" s="9" t="str">
        <f aca="false">IF(AND(N24&lt;&gt;"",O24&lt;&gt;""),"○",IF(N24&lt;&gt;"","△","×"))</f>
        <v>△</v>
      </c>
      <c r="T24" s="9" t="str">
        <f aca="false">IF(Q24&lt;&gt;"","○","×")</f>
        <v>×</v>
      </c>
      <c r="U24" s="10" t="str">
        <f aca="true">IF(L24="","対策未記載",IF(Q24&lt;&gt;"","完了（有効性未評価）",IF(AND(P24&lt;&gt;"",P24&lt;TODAY()),"期限超過",IF(O24="","承認日なし","対応中（期限未設定）"))))</f>
        <v>対策未記載</v>
      </c>
      <c r="V24" s="8" t="s">
        <v>184</v>
      </c>
      <c r="W24" s="7" t="s">
        <v>144</v>
      </c>
      <c r="X24" s="8" t="s">
        <v>213</v>
      </c>
      <c r="Y24" s="11"/>
      <c r="Z24" s="11"/>
    </row>
    <row r="25" customFormat="false" ht="90" hidden="false" customHeight="true" outlineLevel="0" collapsed="false">
      <c r="A25" s="8" t="n">
        <v>75</v>
      </c>
      <c r="B25" s="7" t="s">
        <v>214</v>
      </c>
      <c r="C25" s="7" t="s">
        <v>215</v>
      </c>
      <c r="D25" s="7" t="s">
        <v>216</v>
      </c>
      <c r="E25" s="7" t="s">
        <v>217</v>
      </c>
      <c r="F25" s="8" t="n">
        <v>2026</v>
      </c>
      <c r="G25" s="8" t="s">
        <v>218</v>
      </c>
      <c r="H25" s="8" t="s">
        <v>50</v>
      </c>
      <c r="I25" s="7" t="s">
        <v>64</v>
      </c>
      <c r="J25" s="7" t="s">
        <v>219</v>
      </c>
      <c r="K25" s="8" t="s">
        <v>53</v>
      </c>
      <c r="L25" s="8" t="s">
        <v>220</v>
      </c>
      <c r="M25" s="7" t="s">
        <v>221</v>
      </c>
      <c r="N25" s="7" t="s">
        <v>67</v>
      </c>
      <c r="O25" s="12" t="n">
        <v>46050</v>
      </c>
      <c r="P25" s="8"/>
      <c r="Q25" s="8"/>
      <c r="R25" s="8"/>
      <c r="S25" s="9" t="str">
        <f aca="false">IF(AND(N25&lt;&gt;"",O25&lt;&gt;""),"○",IF(N25&lt;&gt;"","△","×"))</f>
        <v>○</v>
      </c>
      <c r="T25" s="9" t="str">
        <f aca="false">IF(Q25&lt;&gt;"","○","×")</f>
        <v>×</v>
      </c>
      <c r="U25" s="10" t="str">
        <f aca="true">IF(L25="","対策未記載",IF(Q25&lt;&gt;"","完了（有効性未評価）",IF(AND(P25&lt;&gt;"",P25&lt;TODAY()),"期限超過",IF(O25="","承認日なし","対応中（期限未設定）"))))</f>
        <v>対応中（期限未設定）</v>
      </c>
      <c r="V25" s="8" t="s">
        <v>222</v>
      </c>
      <c r="W25" s="13" t="s">
        <v>223</v>
      </c>
      <c r="X25" s="8" t="s">
        <v>224</v>
      </c>
      <c r="Y25" s="11"/>
      <c r="Z25" s="11"/>
    </row>
    <row r="26" customFormat="false" ht="90" hidden="false" customHeight="true" outlineLevel="0" collapsed="false">
      <c r="A26" s="8" t="n">
        <v>76</v>
      </c>
      <c r="B26" s="7" t="s">
        <v>225</v>
      </c>
      <c r="C26" s="7" t="s">
        <v>215</v>
      </c>
      <c r="D26" s="7" t="s">
        <v>226</v>
      </c>
      <c r="E26" s="7" t="s">
        <v>226</v>
      </c>
      <c r="F26" s="8" t="n">
        <v>2026</v>
      </c>
      <c r="G26" s="8" t="s">
        <v>227</v>
      </c>
      <c r="H26" s="8" t="s">
        <v>50</v>
      </c>
      <c r="I26" s="7" t="s">
        <v>64</v>
      </c>
      <c r="J26" s="7" t="s">
        <v>228</v>
      </c>
      <c r="K26" s="8" t="s">
        <v>53</v>
      </c>
      <c r="L26" s="8" t="s">
        <v>229</v>
      </c>
      <c r="M26" s="8"/>
      <c r="N26" s="7" t="s">
        <v>67</v>
      </c>
      <c r="O26" s="8"/>
      <c r="P26" s="8"/>
      <c r="Q26" s="8"/>
      <c r="R26" s="8"/>
      <c r="S26" s="9" t="str">
        <f aca="false">IF(AND(N26&lt;&gt;"",O26&lt;&gt;""),"○",IF(N26&lt;&gt;"","△","×"))</f>
        <v>△</v>
      </c>
      <c r="T26" s="9" t="str">
        <f aca="false">IF(Q26&lt;&gt;"","○","×")</f>
        <v>×</v>
      </c>
      <c r="U26" s="10" t="str">
        <f aca="true">IF(L26="","対策未記載",IF(Q26&lt;&gt;"","完了（有効性未評価）",IF(AND(P26&lt;&gt;"",P26&lt;TODAY()),"期限超過",IF(O26="","承認日なし","対応中（期限未設定）"))))</f>
        <v>承認日なし</v>
      </c>
      <c r="V26" s="8" t="s">
        <v>230</v>
      </c>
      <c r="W26" s="13" t="s">
        <v>231</v>
      </c>
      <c r="X26" s="7" t="s">
        <v>232</v>
      </c>
      <c r="Y26" s="11"/>
      <c r="Z26" s="11"/>
    </row>
    <row r="27" customFormat="false" ht="90" hidden="false" customHeight="true" outlineLevel="0" collapsed="false">
      <c r="A27" s="8" t="n">
        <v>77</v>
      </c>
      <c r="B27" s="7" t="s">
        <v>233</v>
      </c>
      <c r="C27" s="8" t="s">
        <v>152</v>
      </c>
      <c r="D27" s="7" t="s">
        <v>234</v>
      </c>
      <c r="E27" s="7" t="s">
        <v>235</v>
      </c>
      <c r="F27" s="8" t="n">
        <v>2026</v>
      </c>
      <c r="G27" s="8" t="s">
        <v>236</v>
      </c>
      <c r="H27" s="8" t="s">
        <v>50</v>
      </c>
      <c r="I27" s="7" t="s">
        <v>155</v>
      </c>
      <c r="J27" s="7" t="s">
        <v>237</v>
      </c>
      <c r="K27" s="8" t="s">
        <v>53</v>
      </c>
      <c r="L27" s="8" t="s">
        <v>238</v>
      </c>
      <c r="M27" s="8"/>
      <c r="N27" s="7" t="s">
        <v>56</v>
      </c>
      <c r="O27" s="8"/>
      <c r="P27" s="8"/>
      <c r="Q27" s="8"/>
      <c r="R27" s="8"/>
      <c r="S27" s="9" t="str">
        <f aca="false">IF(AND(N27&lt;&gt;"",O27&lt;&gt;""),"○",IF(N27&lt;&gt;"","△","×"))</f>
        <v>△</v>
      </c>
      <c r="T27" s="9" t="str">
        <f aca="false">IF(Q27&lt;&gt;"","○","×")</f>
        <v>×</v>
      </c>
      <c r="U27" s="10" t="str">
        <f aca="true">IF(L27="","対策未記載",IF(Q27&lt;&gt;"","完了（有効性未評価）",IF(AND(P27&lt;&gt;"",P27&lt;TODAY()),"期限超過",IF(O27="","承認日なし","対応中（期限未設定）"))))</f>
        <v>承認日なし</v>
      </c>
      <c r="V27" s="8" t="s">
        <v>230</v>
      </c>
      <c r="W27" s="13" t="s">
        <v>231</v>
      </c>
      <c r="X27" s="8" t="s">
        <v>239</v>
      </c>
      <c r="Y27" s="11"/>
      <c r="Z27" s="11"/>
    </row>
    <row r="28" customFormat="false" ht="90" hidden="false" customHeight="true" outlineLevel="0" collapsed="false">
      <c r="A28" s="8" t="n">
        <v>78</v>
      </c>
      <c r="B28" s="7" t="s">
        <v>240</v>
      </c>
      <c r="C28" s="8" t="s">
        <v>152</v>
      </c>
      <c r="D28" s="7" t="s">
        <v>241</v>
      </c>
      <c r="E28" s="7" t="s">
        <v>242</v>
      </c>
      <c r="F28" s="8" t="n">
        <v>2026</v>
      </c>
      <c r="G28" s="8" t="s">
        <v>243</v>
      </c>
      <c r="H28" s="8" t="s">
        <v>50</v>
      </c>
      <c r="I28" s="7" t="s">
        <v>155</v>
      </c>
      <c r="J28" s="8" t="s">
        <v>244</v>
      </c>
      <c r="K28" s="8"/>
      <c r="L28" s="8"/>
      <c r="M28" s="8"/>
      <c r="N28" s="7" t="s">
        <v>56</v>
      </c>
      <c r="O28" s="8"/>
      <c r="P28" s="8"/>
      <c r="Q28" s="8"/>
      <c r="R28" s="8"/>
      <c r="S28" s="9" t="str">
        <f aca="false">IF(AND(N28&lt;&gt;"",O28&lt;&gt;""),"○",IF(N28&lt;&gt;"","△","×"))</f>
        <v>△</v>
      </c>
      <c r="T28" s="9" t="str">
        <f aca="false">IF(Q28&lt;&gt;"","○","×")</f>
        <v>×</v>
      </c>
      <c r="U28" s="10" t="str">
        <f aca="true">IF(L28="","対策未記載",IF(Q28&lt;&gt;"","完了（有効性未評価）",IF(AND(P28&lt;&gt;"",P28&lt;TODAY()),"期限超過",IF(O28="","承認日なし","対応中（期限未設定）"))))</f>
        <v>対策未記載</v>
      </c>
      <c r="V28" s="8" t="s">
        <v>245</v>
      </c>
      <c r="W28" s="8" t="s">
        <v>58</v>
      </c>
      <c r="X28" s="8" t="s">
        <v>246</v>
      </c>
      <c r="Y28" s="11"/>
      <c r="Z28" s="11"/>
    </row>
    <row r="29" customFormat="false" ht="90" hidden="false" customHeight="true" outlineLevel="0" collapsed="false">
      <c r="A29" s="8" t="n">
        <v>79</v>
      </c>
      <c r="B29" s="7" t="s">
        <v>247</v>
      </c>
      <c r="C29" s="7" t="s">
        <v>46</v>
      </c>
      <c r="D29" s="7" t="s">
        <v>248</v>
      </c>
      <c r="E29" s="7" t="s">
        <v>249</v>
      </c>
      <c r="F29" s="8" t="n">
        <v>2026</v>
      </c>
      <c r="G29" s="7" t="s">
        <v>250</v>
      </c>
      <c r="H29" s="8" t="s">
        <v>50</v>
      </c>
      <c r="I29" s="7" t="s">
        <v>64</v>
      </c>
      <c r="J29" s="7" t="s">
        <v>251</v>
      </c>
      <c r="K29" s="8"/>
      <c r="L29" s="7" t="s">
        <v>252</v>
      </c>
      <c r="M29" s="8"/>
      <c r="N29" s="7" t="s">
        <v>67</v>
      </c>
      <c r="O29" s="8"/>
      <c r="P29" s="8"/>
      <c r="Q29" s="8"/>
      <c r="R29" s="8"/>
      <c r="S29" s="9" t="str">
        <f aca="false">IF(AND(N29&lt;&gt;"",O29&lt;&gt;""),"○",IF(N29&lt;&gt;"","△","×"))</f>
        <v>△</v>
      </c>
      <c r="T29" s="9" t="str">
        <f aca="false">IF(Q29&lt;&gt;"","○","×")</f>
        <v>×</v>
      </c>
      <c r="U29" s="10" t="str">
        <f aca="true">IF(L29="","対策未記載",IF(Q29&lt;&gt;"","完了（有効性未評価）",IF(AND(P29&lt;&gt;"",P29&lt;TODAY()),"期限超過",IF(O29="","承認日なし","対応中（期限未設定）"))))</f>
        <v>承認日なし</v>
      </c>
      <c r="V29" s="8" t="s">
        <v>253</v>
      </c>
      <c r="W29" s="7" t="s">
        <v>144</v>
      </c>
      <c r="X29" s="8" t="s">
        <v>254</v>
      </c>
      <c r="Y29" s="11"/>
      <c r="Z29" s="11"/>
    </row>
    <row r="30" customFormat="false" ht="90" hidden="false" customHeight="true" outlineLevel="0" collapsed="false">
      <c r="A30" s="15" t="n">
        <v>80</v>
      </c>
      <c r="B30" s="14" t="s">
        <v>255</v>
      </c>
      <c r="C30" s="14" t="s">
        <v>215</v>
      </c>
      <c r="D30" s="14" t="s">
        <v>256</v>
      </c>
      <c r="E30" s="14" t="s">
        <v>257</v>
      </c>
      <c r="F30" s="15" t="n">
        <v>2026</v>
      </c>
      <c r="G30" s="14" t="s">
        <v>258</v>
      </c>
      <c r="H30" s="15" t="s">
        <v>50</v>
      </c>
      <c r="I30" s="14" t="s">
        <v>64</v>
      </c>
      <c r="J30" s="15" t="s">
        <v>259</v>
      </c>
      <c r="K30" s="15" t="s">
        <v>260</v>
      </c>
      <c r="L30" s="15"/>
      <c r="M30" s="15"/>
      <c r="N30" s="14" t="s">
        <v>67</v>
      </c>
      <c r="O30" s="15"/>
      <c r="P30" s="15"/>
      <c r="Q30" s="15"/>
      <c r="R30" s="15"/>
      <c r="S30" s="9" t="str">
        <f aca="false">IF(AND(N30&lt;&gt;"",O30&lt;&gt;""),"○",IF(N30&lt;&gt;"","△","×"))</f>
        <v>△</v>
      </c>
      <c r="T30" s="9" t="str">
        <f aca="false">IF(Q30&lt;&gt;"","○","×")</f>
        <v>×</v>
      </c>
      <c r="U30" s="10" t="str">
        <f aca="true">IF(L30="","対策未記載",IF(Q30&lt;&gt;"","完了（有効性未評価）",IF(AND(P30&lt;&gt;"",P30&lt;TODAY()),"期限超過",IF(O30="","承認日なし","対応中（期限未設定）"))))</f>
        <v>対策未記載</v>
      </c>
      <c r="V30" s="8" t="s">
        <v>261</v>
      </c>
      <c r="W30" s="7" t="s">
        <v>144</v>
      </c>
      <c r="X30" s="7" t="s">
        <v>262</v>
      </c>
      <c r="Y30" s="11"/>
      <c r="Z30" s="11"/>
    </row>
    <row r="31" customFormat="false" ht="90" hidden="false" customHeight="true" outlineLevel="0" collapsed="false">
      <c r="A31" s="8" t="n">
        <v>81</v>
      </c>
      <c r="B31" s="7" t="s">
        <v>263</v>
      </c>
      <c r="C31" s="7" t="s">
        <v>46</v>
      </c>
      <c r="D31" s="7" t="s">
        <v>264</v>
      </c>
      <c r="E31" s="7" t="s">
        <v>264</v>
      </c>
      <c r="F31" s="8" t="n">
        <v>2026</v>
      </c>
      <c r="G31" s="8" t="s">
        <v>265</v>
      </c>
      <c r="H31" s="8" t="s">
        <v>50</v>
      </c>
      <c r="I31" s="7" t="s">
        <v>51</v>
      </c>
      <c r="J31" s="7" t="s">
        <v>266</v>
      </c>
      <c r="K31" s="8"/>
      <c r="L31" s="8"/>
      <c r="M31" s="8"/>
      <c r="N31" s="7" t="s">
        <v>56</v>
      </c>
      <c r="O31" s="8"/>
      <c r="P31" s="8"/>
      <c r="Q31" s="8"/>
      <c r="R31" s="8"/>
      <c r="S31" s="9" t="str">
        <f aca="false">IF(AND(N31&lt;&gt;"",O31&lt;&gt;""),"○",IF(N31&lt;&gt;"","△","×"))</f>
        <v>△</v>
      </c>
      <c r="T31" s="9" t="str">
        <f aca="false">IF(Q31&lt;&gt;"","○","×")</f>
        <v>×</v>
      </c>
      <c r="U31" s="10" t="str">
        <f aca="true">IF(L31="","対策未記載",IF(Q31&lt;&gt;"","完了（有効性未評価）",IF(AND(P31&lt;&gt;"",P31&lt;TODAY()),"期限超過",IF(O31="","承認日なし","対応中（期限未設定）"))))</f>
        <v>対策未記載</v>
      </c>
      <c r="V31" s="8" t="s">
        <v>101</v>
      </c>
      <c r="W31" s="8" t="s">
        <v>58</v>
      </c>
      <c r="X31" s="8"/>
      <c r="Y31" s="11"/>
      <c r="Z31" s="11"/>
    </row>
    <row r="32" customFormat="false" ht="90" hidden="false" customHeight="true" outlineLevel="0" collapsed="false">
      <c r="A32" s="8" t="n">
        <v>82</v>
      </c>
      <c r="B32" s="7" t="s">
        <v>267</v>
      </c>
      <c r="C32" s="8" t="s">
        <v>152</v>
      </c>
      <c r="D32" s="7" t="s">
        <v>268</v>
      </c>
      <c r="E32" s="7" t="s">
        <v>268</v>
      </c>
      <c r="F32" s="8" t="n">
        <v>2026</v>
      </c>
      <c r="G32" s="7" t="s">
        <v>154</v>
      </c>
      <c r="H32" s="8" t="s">
        <v>269</v>
      </c>
      <c r="I32" s="7" t="s">
        <v>51</v>
      </c>
      <c r="J32" s="7" t="s">
        <v>270</v>
      </c>
      <c r="K32" s="7" t="s">
        <v>270</v>
      </c>
      <c r="L32" s="8"/>
      <c r="M32" s="8"/>
      <c r="N32" s="7" t="s">
        <v>56</v>
      </c>
      <c r="O32" s="8"/>
      <c r="P32" s="8"/>
      <c r="Q32" s="8"/>
      <c r="R32" s="8"/>
      <c r="S32" s="9" t="str">
        <f aca="false">IF(AND(N32&lt;&gt;"",O32&lt;&gt;""),"○",IF(N32&lt;&gt;"","△","×"))</f>
        <v>△</v>
      </c>
      <c r="T32" s="9" t="str">
        <f aca="false">IF(Q32&lt;&gt;"","○","×")</f>
        <v>×</v>
      </c>
      <c r="U32" s="10" t="str">
        <f aca="true">IF(L32="","対策未記載",IF(Q32&lt;&gt;"","完了（有効性未評価）",IF(AND(P32&lt;&gt;"",P32&lt;TODAY()),"期限超過",IF(O32="","承認日なし","対応中（期限未設定）"))))</f>
        <v>対策未記載</v>
      </c>
      <c r="V32" s="8" t="s">
        <v>158</v>
      </c>
      <c r="W32" s="8" t="s">
        <v>58</v>
      </c>
      <c r="X32" s="8"/>
      <c r="Y32" s="11"/>
      <c r="Z32" s="11"/>
    </row>
    <row r="33" customFormat="false" ht="90" hidden="false" customHeight="true" outlineLevel="0" collapsed="false">
      <c r="A33" s="8" t="n">
        <v>83</v>
      </c>
      <c r="B33" s="7" t="s">
        <v>271</v>
      </c>
      <c r="C33" s="8" t="s">
        <v>152</v>
      </c>
      <c r="D33" s="7" t="s">
        <v>272</v>
      </c>
      <c r="E33" s="7" t="s">
        <v>272</v>
      </c>
      <c r="F33" s="8" t="n">
        <v>2026</v>
      </c>
      <c r="G33" s="8" t="s">
        <v>101</v>
      </c>
      <c r="H33" s="8" t="s">
        <v>50</v>
      </c>
      <c r="I33" s="7" t="s">
        <v>51</v>
      </c>
      <c r="J33" s="7" t="s">
        <v>273</v>
      </c>
      <c r="K33" s="8"/>
      <c r="L33" s="8"/>
      <c r="M33" s="8"/>
      <c r="N33" s="7" t="s">
        <v>56</v>
      </c>
      <c r="O33" s="8"/>
      <c r="P33" s="8"/>
      <c r="Q33" s="8"/>
      <c r="R33" s="8"/>
      <c r="S33" s="9" t="str">
        <f aca="false">IF(AND(N33&lt;&gt;"",O33&lt;&gt;""),"○",IF(N33&lt;&gt;"","△","×"))</f>
        <v>△</v>
      </c>
      <c r="T33" s="9" t="str">
        <f aca="false">IF(Q33&lt;&gt;"","○","×")</f>
        <v>×</v>
      </c>
      <c r="U33" s="10" t="str">
        <f aca="true">IF(L33="","対策未記載",IF(Q33&lt;&gt;"","完了（有効性未評価）",IF(AND(P33&lt;&gt;"",P33&lt;TODAY()),"期限超過",IF(O33="","承認日なし","対応中（期限未設定）"))))</f>
        <v>対策未記載</v>
      </c>
      <c r="V33" s="8" t="s">
        <v>101</v>
      </c>
      <c r="W33" s="8" t="s">
        <v>58</v>
      </c>
      <c r="X33" s="8"/>
      <c r="Y33" s="11"/>
      <c r="Z33" s="11"/>
    </row>
  </sheetData>
  <autoFilter ref="A1:Z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4"/>
  </cols>
  <sheetData>
    <row r="1" customFormat="false" ht="15" hidden="false" customHeight="false" outlineLevel="0" collapsed="false">
      <c r="A1" s="16" t="s">
        <v>274</v>
      </c>
    </row>
    <row r="2" customFormat="false" ht="15" hidden="false" customHeight="false" outlineLevel="0" collapsed="false">
      <c r="A2" s="6" t="s">
        <v>24</v>
      </c>
      <c r="B2" s="6" t="s">
        <v>275</v>
      </c>
      <c r="C2" s="6" t="s">
        <v>276</v>
      </c>
      <c r="D2" s="6" t="s">
        <v>277</v>
      </c>
      <c r="E2" s="6" t="s">
        <v>278</v>
      </c>
      <c r="F2" s="6" t="s">
        <v>279</v>
      </c>
    </row>
    <row r="3" customFormat="false" ht="15" hidden="false" customHeight="false" outlineLevel="0" collapsed="false">
      <c r="A3" s="17" t="n">
        <v>2024</v>
      </c>
      <c r="B3" s="18" t="n">
        <f aca="false">COUNTIFS('母集団_2024-2026'!$F$2:$F$33,$A3,'母集団_2024-2026'!$I$2:$I$33,"1")</f>
        <v>4</v>
      </c>
      <c r="C3" s="18" t="n">
        <f aca="false">COUNTIFS('母集団_2024-2026'!$F$2:$F$33,$A3,'母集団_2024-2026'!$I$2:$I$33,"2")</f>
        <v>0</v>
      </c>
      <c r="D3" s="18" t="n">
        <f aca="false">COUNTIFS('母集団_2024-2026'!$F$2:$F$33,$A3,'母集団_2024-2026'!$I$2:$I$33,"3")</f>
        <v>5</v>
      </c>
      <c r="E3" s="18" t="n">
        <f aca="false">COUNTIFS('母集団_2024-2026'!$F$2:$F$33,$A3,'母集団_2024-2026'!$I$2:$I$33,"他Gで起票")</f>
        <v>1</v>
      </c>
      <c r="F3" s="18" t="n">
        <f aca="false">COUNTIF('母集団_2024-2026'!$F$2:$F$33,$A3)</f>
        <v>10</v>
      </c>
    </row>
    <row r="4" customFormat="false" ht="15" hidden="false" customHeight="false" outlineLevel="0" collapsed="false">
      <c r="A4" s="17" t="n">
        <v>2025</v>
      </c>
      <c r="B4" s="18" t="n">
        <f aca="false">COUNTIFS('母集団_2024-2026'!$F$2:$F$33,$A4,'母集団_2024-2026'!$I$2:$I$33,"1")</f>
        <v>2</v>
      </c>
      <c r="C4" s="18" t="n">
        <f aca="false">COUNTIFS('母集団_2024-2026'!$F$2:$F$33,$A4,'母集団_2024-2026'!$I$2:$I$33,"2")</f>
        <v>1</v>
      </c>
      <c r="D4" s="18" t="n">
        <f aca="false">COUNTIFS('母集団_2024-2026'!$F$2:$F$33,$A4,'母集団_2024-2026'!$I$2:$I$33,"3")</f>
        <v>10</v>
      </c>
      <c r="E4" s="18" t="n">
        <f aca="false">COUNTIFS('母集団_2024-2026'!$F$2:$F$33,$A4,'母集団_2024-2026'!$I$2:$I$33,"他Gで起票")</f>
        <v>0</v>
      </c>
      <c r="F4" s="18" t="n">
        <f aca="false">COUNTIF('母集団_2024-2026'!$F$2:$F$33,$A4)</f>
        <v>13</v>
      </c>
    </row>
    <row r="5" customFormat="false" ht="15" hidden="false" customHeight="false" outlineLevel="0" collapsed="false">
      <c r="A5" s="17" t="n">
        <v>2026</v>
      </c>
      <c r="B5" s="18" t="n">
        <f aca="false">COUNTIFS('母集団_2024-2026'!$F$2:$F$33,$A5,'母集団_2024-2026'!$I$2:$I$33,"1")</f>
        <v>3</v>
      </c>
      <c r="C5" s="18" t="n">
        <f aca="false">COUNTIFS('母集団_2024-2026'!$F$2:$F$33,$A5,'母集団_2024-2026'!$I$2:$I$33,"2")</f>
        <v>2</v>
      </c>
      <c r="D5" s="18" t="n">
        <f aca="false">COUNTIFS('母集団_2024-2026'!$F$2:$F$33,$A5,'母集団_2024-2026'!$I$2:$I$33,"3")</f>
        <v>4</v>
      </c>
      <c r="E5" s="18" t="n">
        <f aca="false">COUNTIFS('母集団_2024-2026'!$F$2:$F$33,$A5,'母集団_2024-2026'!$I$2:$I$33,"他Gで起票")</f>
        <v>0</v>
      </c>
      <c r="F5" s="18" t="n">
        <f aca="false">COUNTIF('母集団_2024-2026'!$F$2:$F$33,$A5)</f>
        <v>9</v>
      </c>
    </row>
    <row r="6" customFormat="false" ht="15" hidden="false" customHeight="false" outlineLevel="0" collapsed="false">
      <c r="A6" s="19" t="s">
        <v>279</v>
      </c>
      <c r="B6" s="20" t="n">
        <f aca="false">SUM(B3:B5)</f>
        <v>9</v>
      </c>
      <c r="C6" s="20" t="n">
        <f aca="false">SUM(C3:C5)</f>
        <v>3</v>
      </c>
      <c r="D6" s="20" t="n">
        <f aca="false">SUM(D3:D5)</f>
        <v>19</v>
      </c>
      <c r="E6" s="20" t="n">
        <f aca="false">SUM(E3:E5)</f>
        <v>1</v>
      </c>
      <c r="F6" s="20" t="n">
        <f aca="false">SUM(F3:F5)</f>
        <v>32</v>
      </c>
    </row>
    <row r="7" customFormat="false" ht="15" hidden="false" customHeight="false" outlineLevel="0" collapsed="false">
      <c r="A7" s="21" t="s">
        <v>280</v>
      </c>
    </row>
    <row r="9" customFormat="false" ht="15" hidden="false" customHeight="false" outlineLevel="0" collapsed="false">
      <c r="A9" s="16" t="s">
        <v>281</v>
      </c>
    </row>
    <row r="10" customFormat="false" ht="15" hidden="false" customHeight="false" outlineLevel="0" collapsed="false">
      <c r="A10" s="6" t="s">
        <v>26</v>
      </c>
      <c r="B10" s="6" t="s">
        <v>275</v>
      </c>
      <c r="C10" s="6" t="s">
        <v>276</v>
      </c>
      <c r="D10" s="6" t="s">
        <v>277</v>
      </c>
      <c r="E10" s="6" t="s">
        <v>278</v>
      </c>
      <c r="F10" s="6" t="s">
        <v>279</v>
      </c>
    </row>
    <row r="11" customFormat="false" ht="15" hidden="false" customHeight="false" outlineLevel="0" collapsed="false">
      <c r="A11" s="8" t="s">
        <v>50</v>
      </c>
      <c r="B11" s="18" t="n">
        <f aca="false">COUNTIFS('母集団_2024-2026'!$H$2:$H$33,$A11,'母集団_2024-2026'!$I$2:$I$33,"1")</f>
        <v>7</v>
      </c>
      <c r="C11" s="18" t="n">
        <f aca="false">COUNTIFS('母集団_2024-2026'!$H$2:$H$33,$A11,'母集団_2024-2026'!$I$2:$I$33,"2")</f>
        <v>3</v>
      </c>
      <c r="D11" s="18" t="n">
        <f aca="false">COUNTIFS('母集団_2024-2026'!$H$2:$H$33,$A11,'母集団_2024-2026'!$I$2:$I$33,"3")</f>
        <v>12</v>
      </c>
      <c r="E11" s="18" t="n">
        <f aca="false">COUNTIFS('母集団_2024-2026'!$H$2:$H$33,$A11,'母集団_2024-2026'!$I$2:$I$33,"他Gで起票")</f>
        <v>0</v>
      </c>
      <c r="F11" s="18" t="n">
        <f aca="false">COUNTIF('母集団_2024-2026'!$H$2:$H$33,$A11)</f>
        <v>22</v>
      </c>
    </row>
    <row r="12" customFormat="false" ht="15" hidden="false" customHeight="false" outlineLevel="0" collapsed="false">
      <c r="A12" s="8" t="s">
        <v>63</v>
      </c>
      <c r="B12" s="18" t="n">
        <f aca="false">COUNTIFS('母集団_2024-2026'!$H$2:$H$33,$A12,'母集団_2024-2026'!$I$2:$I$33,"1")</f>
        <v>0</v>
      </c>
      <c r="C12" s="18" t="n">
        <f aca="false">COUNTIFS('母集団_2024-2026'!$H$2:$H$33,$A12,'母集団_2024-2026'!$I$2:$I$33,"2")</f>
        <v>0</v>
      </c>
      <c r="D12" s="18" t="n">
        <f aca="false">COUNTIFS('母集団_2024-2026'!$H$2:$H$33,$A12,'母集団_2024-2026'!$I$2:$I$33,"3")</f>
        <v>5</v>
      </c>
      <c r="E12" s="18" t="n">
        <f aca="false">COUNTIFS('母集団_2024-2026'!$H$2:$H$33,$A12,'母集団_2024-2026'!$I$2:$I$33,"他Gで起票")</f>
        <v>0</v>
      </c>
      <c r="F12" s="18" t="n">
        <f aca="false">COUNTIF('母集団_2024-2026'!$H$2:$H$33,$A12)</f>
        <v>5</v>
      </c>
    </row>
    <row r="13" customFormat="false" ht="15" hidden="false" customHeight="false" outlineLevel="0" collapsed="false">
      <c r="A13" s="8" t="s">
        <v>93</v>
      </c>
      <c r="B13" s="18" t="n">
        <f aca="false">COUNTIFS('母集団_2024-2026'!$H$2:$H$33,$A13,'母集団_2024-2026'!$I$2:$I$33,"1")</f>
        <v>1</v>
      </c>
      <c r="C13" s="18" t="n">
        <f aca="false">COUNTIFS('母集団_2024-2026'!$H$2:$H$33,$A13,'母集団_2024-2026'!$I$2:$I$33,"2")</f>
        <v>0</v>
      </c>
      <c r="D13" s="18" t="n">
        <f aca="false">COUNTIFS('母集団_2024-2026'!$H$2:$H$33,$A13,'母集団_2024-2026'!$I$2:$I$33,"3")</f>
        <v>0</v>
      </c>
      <c r="E13" s="18" t="n">
        <f aca="false">COUNTIFS('母集団_2024-2026'!$H$2:$H$33,$A13,'母集団_2024-2026'!$I$2:$I$33,"他Gで起票")</f>
        <v>1</v>
      </c>
      <c r="F13" s="18" t="n">
        <f aca="false">COUNTIF('母集団_2024-2026'!$H$2:$H$33,$A13)</f>
        <v>2</v>
      </c>
    </row>
    <row r="14" customFormat="false" ht="15" hidden="false" customHeight="false" outlineLevel="0" collapsed="false">
      <c r="A14" s="8" t="s">
        <v>269</v>
      </c>
      <c r="B14" s="18" t="n">
        <f aca="false">COUNTIFS('母集団_2024-2026'!$H$2:$H$33,$A14,'母集団_2024-2026'!$I$2:$I$33,"1")</f>
        <v>1</v>
      </c>
      <c r="C14" s="18" t="n">
        <f aca="false">COUNTIFS('母集団_2024-2026'!$H$2:$H$33,$A14,'母集団_2024-2026'!$I$2:$I$33,"2")</f>
        <v>0</v>
      </c>
      <c r="D14" s="18" t="n">
        <f aca="false">COUNTIFS('母集団_2024-2026'!$H$2:$H$33,$A14,'母集団_2024-2026'!$I$2:$I$33,"3")</f>
        <v>0</v>
      </c>
      <c r="E14" s="18" t="n">
        <f aca="false">COUNTIFS('母集団_2024-2026'!$H$2:$H$33,$A14,'母集団_2024-2026'!$I$2:$I$33,"他Gで起票")</f>
        <v>0</v>
      </c>
      <c r="F14" s="18" t="n">
        <f aca="false">COUNTIF('母集団_2024-2026'!$H$2:$H$33,$A14)</f>
        <v>1</v>
      </c>
    </row>
    <row r="15" customFormat="false" ht="15" hidden="false" customHeight="false" outlineLevel="0" collapsed="false">
      <c r="A15" s="8" t="s">
        <v>211</v>
      </c>
      <c r="B15" s="18" t="n">
        <f aca="false">COUNTIFS('母集団_2024-2026'!$H$2:$H$33,$A15,'母集団_2024-2026'!$I$2:$I$33,"1")</f>
        <v>0</v>
      </c>
      <c r="C15" s="18" t="n">
        <f aca="false">COUNTIFS('母集団_2024-2026'!$H$2:$H$33,$A15,'母集団_2024-2026'!$I$2:$I$33,"2")</f>
        <v>0</v>
      </c>
      <c r="D15" s="18" t="n">
        <f aca="false">COUNTIFS('母集団_2024-2026'!$H$2:$H$33,$A15,'母集団_2024-2026'!$I$2:$I$33,"3")</f>
        <v>1</v>
      </c>
      <c r="E15" s="18" t="n">
        <f aca="false">COUNTIFS('母集団_2024-2026'!$H$2:$H$33,$A15,'母集団_2024-2026'!$I$2:$I$33,"他Gで起票")</f>
        <v>0</v>
      </c>
      <c r="F15" s="18" t="n">
        <f aca="false">COUNTIF('母集団_2024-2026'!$H$2:$H$33,$A15)</f>
        <v>1</v>
      </c>
    </row>
    <row r="16" customFormat="false" ht="15" hidden="false" customHeight="false" outlineLevel="0" collapsed="false">
      <c r="A16" s="8" t="s">
        <v>282</v>
      </c>
      <c r="B16" s="18" t="n">
        <f aca="false">COUNTIFS('母集団_2024-2026'!$H$2:$H$33,"",'母集団_2024-2026'!$I$2:$I$33,"1")</f>
        <v>0</v>
      </c>
      <c r="C16" s="18" t="n">
        <f aca="false">COUNTIFS('母集団_2024-2026'!$H$2:$H$33,"",'母集団_2024-2026'!$I$2:$I$33,"2")</f>
        <v>0</v>
      </c>
      <c r="D16" s="18" t="n">
        <f aca="false">COUNTIFS('母集団_2024-2026'!$H$2:$H$33,"",'母集団_2024-2026'!$I$2:$I$33,"3")</f>
        <v>1</v>
      </c>
      <c r="E16" s="18" t="n">
        <f aca="false">COUNTIFS('母集団_2024-2026'!$H$2:$H$33,"",'母集団_2024-2026'!$I$2:$I$33,"他Gで起票")</f>
        <v>0</v>
      </c>
      <c r="F16" s="18" t="n">
        <f aca="false">COUNTIF('母集団_2024-2026'!$H$2:$H$33,"")</f>
        <v>1</v>
      </c>
    </row>
    <row r="17" customFormat="false" ht="15" hidden="false" customHeight="false" outlineLevel="0" collapsed="false">
      <c r="A17" s="19" t="s">
        <v>279</v>
      </c>
      <c r="B17" s="20" t="n">
        <f aca="false">SUM(B11:B16)</f>
        <v>9</v>
      </c>
      <c r="C17" s="20" t="n">
        <f aca="false">SUM(C11:C16)</f>
        <v>3</v>
      </c>
      <c r="D17" s="20" t="n">
        <f aca="false">SUM(D11:D16)</f>
        <v>19</v>
      </c>
      <c r="E17" s="20" t="n">
        <f aca="false">SUM(E11:E16)</f>
        <v>1</v>
      </c>
      <c r="F17" s="20" t="n">
        <f aca="false">SUM(F11:F16)</f>
        <v>32</v>
      </c>
    </row>
    <row r="18" customFormat="false" ht="15" hidden="false" customHeight="false" outlineLevel="0" collapsed="false">
      <c r="A18" s="22" t="s">
        <v>283</v>
      </c>
      <c r="D18" s="23" t="n">
        <f aca="false">(D11+D12)/D17</f>
        <v>0.894736842105263</v>
      </c>
    </row>
    <row r="21" customFormat="false" ht="15" hidden="false" customHeight="false" outlineLevel="0" collapsed="false">
      <c r="A21" s="16" t="s">
        <v>284</v>
      </c>
    </row>
    <row r="22" customFormat="false" ht="15" hidden="false" customHeight="false" outlineLevel="0" collapsed="false">
      <c r="A22" s="6" t="s">
        <v>285</v>
      </c>
      <c r="B22" s="6" t="s">
        <v>286</v>
      </c>
      <c r="C22" s="6" t="s">
        <v>287</v>
      </c>
      <c r="D22" s="6" t="s">
        <v>288</v>
      </c>
      <c r="E22" s="6" t="s">
        <v>289</v>
      </c>
    </row>
    <row r="23" customFormat="false" ht="15" hidden="false" customHeight="false" outlineLevel="0" collapsed="false">
      <c r="A23" s="8" t="s">
        <v>290</v>
      </c>
      <c r="B23" s="18" t="n">
        <f aca="false">COUNTA('母集団_2024-2026'!$B$2:$B$33)</f>
        <v>32</v>
      </c>
      <c r="D23" s="18" t="n">
        <f aca="false">COUNTIF('母集団_2024-2026'!$I$2:$I$33,"3")</f>
        <v>19</v>
      </c>
    </row>
    <row r="24" customFormat="false" ht="15" hidden="false" customHeight="false" outlineLevel="0" collapsed="false">
      <c r="A24" s="8" t="s">
        <v>291</v>
      </c>
      <c r="B24" s="18" t="n">
        <f aca="false">COUNTIF('母集団_2024-2026'!$L$2:$L$33,"&lt;&gt;")</f>
        <v>20</v>
      </c>
      <c r="C24" s="23" t="n">
        <f aca="false">B24/$B$23</f>
        <v>0.625</v>
      </c>
      <c r="D24" s="18" t="n">
        <f aca="false">COUNTIFS('母集団_2024-2026'!$I$2:$I$33,"3",'母集団_2024-2026'!$L$2:$L$33,"&lt;&gt;")</f>
        <v>13</v>
      </c>
      <c r="E24" s="23" t="n">
        <f aca="false">D24/$D$23</f>
        <v>0.68421052631579</v>
      </c>
    </row>
    <row r="25" customFormat="false" ht="15" hidden="false" customHeight="false" outlineLevel="0" collapsed="false">
      <c r="A25" s="8" t="s">
        <v>292</v>
      </c>
      <c r="B25" s="18" t="n">
        <f aca="false">COUNTIF('母集団_2024-2026'!$N$2:$N$33,"&lt;&gt;")</f>
        <v>29</v>
      </c>
      <c r="C25" s="23" t="n">
        <f aca="false">B25/$B$23</f>
        <v>0.90625</v>
      </c>
      <c r="D25" s="18" t="n">
        <f aca="false">COUNTIFS('母集団_2024-2026'!$I$2:$I$33,"3",'母集団_2024-2026'!$N$2:$N$33,"&lt;&gt;")</f>
        <v>18</v>
      </c>
      <c r="E25" s="23" t="n">
        <f aca="false">D25/$D$23</f>
        <v>0.947368421052632</v>
      </c>
    </row>
    <row r="26" customFormat="false" ht="15" hidden="false" customHeight="false" outlineLevel="0" collapsed="false">
      <c r="A26" s="8" t="s">
        <v>293</v>
      </c>
      <c r="B26" s="18" t="n">
        <f aca="false">COUNTIF('母集団_2024-2026'!$O$2:$O$33,"&lt;&gt;")</f>
        <v>5</v>
      </c>
      <c r="C26" s="23" t="n">
        <f aca="false">B26/$B$23</f>
        <v>0.15625</v>
      </c>
      <c r="D26" s="18" t="n">
        <f aca="false">COUNTIFS('母集団_2024-2026'!$I$2:$I$33,"3",'母集団_2024-2026'!$O$2:$O$33,"&lt;&gt;")</f>
        <v>5</v>
      </c>
      <c r="E26" s="23" t="n">
        <f aca="false">D26/$D$23</f>
        <v>0.263157894736842</v>
      </c>
    </row>
    <row r="27" customFormat="false" ht="15" hidden="false" customHeight="false" outlineLevel="0" collapsed="false">
      <c r="A27" s="8" t="s">
        <v>294</v>
      </c>
      <c r="B27" s="18" t="n">
        <f aca="false">COUNTIF('母集団_2024-2026'!$P$2:$P$33,"&lt;&gt;")</f>
        <v>4</v>
      </c>
      <c r="C27" s="23" t="n">
        <f aca="false">B27/$B$23</f>
        <v>0.125</v>
      </c>
      <c r="D27" s="18" t="n">
        <f aca="false">COUNTIFS('母集団_2024-2026'!$I$2:$I$33,"3",'母集団_2024-2026'!$P$2:$P$33,"&lt;&gt;")</f>
        <v>4</v>
      </c>
      <c r="E27" s="23" t="n">
        <f aca="false">D27/$D$23</f>
        <v>0.210526315789474</v>
      </c>
    </row>
    <row r="28" customFormat="false" ht="15" hidden="false" customHeight="false" outlineLevel="0" collapsed="false">
      <c r="A28" s="8" t="s">
        <v>295</v>
      </c>
      <c r="B28" s="18" t="n">
        <f aca="false">COUNTIF('母集団_2024-2026'!$Q$2:$Q$33,"&lt;&gt;")</f>
        <v>1</v>
      </c>
      <c r="C28" s="23" t="n">
        <f aca="false">B28/$B$23</f>
        <v>0.03125</v>
      </c>
      <c r="D28" s="18" t="n">
        <f aca="false">COUNTIFS('母集団_2024-2026'!$I$2:$I$33,"3",'母集団_2024-2026'!$Q$2:$Q$33,"&lt;&gt;")</f>
        <v>1</v>
      </c>
      <c r="E28" s="23" t="n">
        <f aca="false">D28/$D$23</f>
        <v>0.0526315789473684</v>
      </c>
    </row>
    <row r="29" customFormat="false" ht="15" hidden="false" customHeight="false" outlineLevel="0" collapsed="false">
      <c r="A29" s="8" t="s">
        <v>296</v>
      </c>
      <c r="B29" s="18" t="n">
        <f aca="false">COUNTIF('母集団_2024-2026'!$R$2:$R$33,"&lt;&gt;")</f>
        <v>0</v>
      </c>
      <c r="C29" s="23" t="n">
        <f aca="false">B29/$B$23</f>
        <v>0</v>
      </c>
      <c r="D29" s="18" t="n">
        <f aca="false">COUNTIFS('母集団_2024-2026'!$I$2:$I$33,"3",'母集団_2024-2026'!$R$2:$R$33,"&lt;&gt;")</f>
        <v>0</v>
      </c>
      <c r="E29" s="23" t="n">
        <f aca="false">D29/$D$23</f>
        <v>0</v>
      </c>
    </row>
    <row r="30" customFormat="false" ht="15" hidden="false" customHeight="false" outlineLevel="0" collapsed="false">
      <c r="A30" s="22" t="s">
        <v>297</v>
      </c>
    </row>
    <row r="32" customFormat="false" ht="15" hidden="false" customHeight="false" outlineLevel="0" collapsed="false">
      <c r="A32" s="16" t="s">
        <v>298</v>
      </c>
    </row>
    <row r="33" customFormat="false" ht="15" hidden="false" customHeight="false" outlineLevel="0" collapsed="false">
      <c r="A33" s="6" t="s">
        <v>39</v>
      </c>
      <c r="B33" s="6" t="s">
        <v>299</v>
      </c>
    </row>
    <row r="34" customFormat="false" ht="15" hidden="false" customHeight="false" outlineLevel="0" collapsed="false">
      <c r="A34" s="8" t="s">
        <v>300</v>
      </c>
      <c r="B34" s="18" t="n">
        <f aca="false">COUNTIFS('母集団_2024-2026'!$I$2:$I$33,"3",'母集団_2024-2026'!$U$2:$U$33,$A34)</f>
        <v>6</v>
      </c>
    </row>
    <row r="35" customFormat="false" ht="15" hidden="false" customHeight="false" outlineLevel="0" collapsed="false">
      <c r="A35" s="8" t="s">
        <v>301</v>
      </c>
      <c r="B35" s="18" t="n">
        <f aca="false">COUNTIFS('母集団_2024-2026'!$I$2:$I$33,"3",'母集団_2024-2026'!$U$2:$U$33,$A35)</f>
        <v>8</v>
      </c>
    </row>
    <row r="36" customFormat="false" ht="15" hidden="false" customHeight="false" outlineLevel="0" collapsed="false">
      <c r="A36" s="8" t="s">
        <v>302</v>
      </c>
      <c r="B36" s="18" t="n">
        <f aca="false">COUNTIFS('母集団_2024-2026'!$I$2:$I$33,"3",'母集団_2024-2026'!$U$2:$U$33,$A36)</f>
        <v>3</v>
      </c>
    </row>
    <row r="37" customFormat="false" ht="15" hidden="false" customHeight="false" outlineLevel="0" collapsed="false">
      <c r="A37" s="8" t="s">
        <v>303</v>
      </c>
      <c r="B37" s="18" t="n">
        <f aca="false">COUNTIFS('母集団_2024-2026'!$I$2:$I$33,"3",'母集団_2024-2026'!$U$2:$U$33,$A37)</f>
        <v>1</v>
      </c>
    </row>
    <row r="38" customFormat="false" ht="15" hidden="false" customHeight="false" outlineLevel="0" collapsed="false">
      <c r="A38" s="8" t="s">
        <v>304</v>
      </c>
      <c r="B38" s="18" t="n">
        <f aca="false">COUNTIFS('母集団_2024-2026'!$I$2:$I$33,"3",'母集団_2024-2026'!$U$2:$U$33,$A38)</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3" min="3" style="0" width="70"/>
    <col collapsed="false" customWidth="true" hidden="false" outlineLevel="0" max="4" min="4" style="0" width="60"/>
  </cols>
  <sheetData>
    <row r="1" customFormat="false" ht="15" hidden="false" customHeight="false" outlineLevel="0" collapsed="false">
      <c r="A1" s="6" t="s">
        <v>305</v>
      </c>
      <c r="B1" s="6" t="s">
        <v>306</v>
      </c>
      <c r="C1" s="6" t="s">
        <v>307</v>
      </c>
      <c r="D1" s="6" t="s">
        <v>308</v>
      </c>
    </row>
    <row r="2" customFormat="false" ht="120" hidden="false" customHeight="true" outlineLevel="0" collapsed="false">
      <c r="A2" s="8" t="s">
        <v>230</v>
      </c>
      <c r="B2" s="7" t="s">
        <v>309</v>
      </c>
      <c r="C2" s="7" t="s">
        <v>310</v>
      </c>
      <c r="D2" s="7" t="s">
        <v>311</v>
      </c>
    </row>
    <row r="3" customFormat="false" ht="120" hidden="false" customHeight="true" outlineLevel="0" collapsed="false">
      <c r="A3" s="8" t="s">
        <v>77</v>
      </c>
      <c r="B3" s="7" t="s">
        <v>312</v>
      </c>
      <c r="C3" s="7" t="s">
        <v>313</v>
      </c>
      <c r="D3" s="8" t="s">
        <v>314</v>
      </c>
    </row>
    <row r="4" customFormat="false" ht="120" hidden="false" customHeight="true" outlineLevel="0" collapsed="false">
      <c r="A4" s="8" t="s">
        <v>315</v>
      </c>
      <c r="B4" s="7" t="s">
        <v>316</v>
      </c>
      <c r="C4" s="7" t="s">
        <v>317</v>
      </c>
      <c r="D4" s="7" t="s">
        <v>318</v>
      </c>
    </row>
    <row r="5" customFormat="false" ht="120" hidden="false" customHeight="true" outlineLevel="0" collapsed="false">
      <c r="A5" s="8" t="s">
        <v>319</v>
      </c>
      <c r="B5" s="7" t="s">
        <v>320</v>
      </c>
      <c r="C5" s="8" t="s">
        <v>321</v>
      </c>
      <c r="D5" s="8" t="s">
        <v>322</v>
      </c>
    </row>
    <row r="6" customFormat="false" ht="120" hidden="false" customHeight="true" outlineLevel="0" collapsed="false">
      <c r="A6" s="8" t="s">
        <v>323</v>
      </c>
      <c r="B6" s="7" t="s">
        <v>324</v>
      </c>
      <c r="C6" s="8" t="s">
        <v>325</v>
      </c>
      <c r="D6" s="8" t="s">
        <v>326</v>
      </c>
    </row>
    <row r="7" customFormat="false" ht="120" hidden="false" customHeight="true" outlineLevel="0" collapsed="false">
      <c r="A7" s="8" t="s">
        <v>327</v>
      </c>
      <c r="B7" s="7" t="s">
        <v>328</v>
      </c>
      <c r="C7" s="8" t="s">
        <v>329</v>
      </c>
      <c r="D7" s="7" t="s">
        <v>330</v>
      </c>
    </row>
    <row r="8" customFormat="false" ht="120" hidden="false" customHeight="true" outlineLevel="0" collapsed="false">
      <c r="A8" s="8" t="s">
        <v>253</v>
      </c>
      <c r="B8" s="7" t="s">
        <v>331</v>
      </c>
      <c r="C8" s="8" t="s">
        <v>332</v>
      </c>
      <c r="D8" s="8" t="s">
        <v>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4"/>
    <col collapsed="false" customWidth="true" hidden="false" outlineLevel="0" max="4" min="4" style="0" width="70"/>
    <col collapsed="false" customWidth="true" hidden="false" outlineLevel="0" max="5" min="5" style="0" width="30"/>
    <col collapsed="false" customWidth="true" hidden="false" outlineLevel="0" max="6" min="6" style="0" width="10"/>
    <col collapsed="false" customWidth="true" hidden="false" outlineLevel="0" max="7" min="7" style="0" width="40"/>
  </cols>
  <sheetData>
    <row r="1" customFormat="false" ht="26.85" hidden="false" customHeight="false" outlineLevel="0" collapsed="false">
      <c r="A1" s="6" t="s">
        <v>334</v>
      </c>
      <c r="B1" s="6" t="s">
        <v>335</v>
      </c>
      <c r="C1" s="6" t="s">
        <v>336</v>
      </c>
      <c r="D1" s="6" t="s">
        <v>337</v>
      </c>
      <c r="E1" s="6" t="s">
        <v>338</v>
      </c>
      <c r="F1" s="6" t="s">
        <v>339</v>
      </c>
      <c r="G1" s="6" t="s">
        <v>340</v>
      </c>
    </row>
    <row r="2" customFormat="false" ht="60" hidden="false" customHeight="true" outlineLevel="0" collapsed="false">
      <c r="A2" s="24" t="s">
        <v>341</v>
      </c>
      <c r="B2" s="7" t="s">
        <v>342</v>
      </c>
      <c r="C2" s="24" t="s">
        <v>343</v>
      </c>
      <c r="D2" s="8" t="s">
        <v>344</v>
      </c>
      <c r="E2" s="11"/>
      <c r="F2" s="11"/>
      <c r="G2" s="11"/>
    </row>
    <row r="3" customFormat="false" ht="60" hidden="false" customHeight="true" outlineLevel="0" collapsed="false">
      <c r="A3" s="13"/>
      <c r="B3" s="8"/>
      <c r="C3" s="24" t="s">
        <v>345</v>
      </c>
      <c r="D3" s="8" t="s">
        <v>346</v>
      </c>
      <c r="E3" s="11"/>
      <c r="F3" s="11"/>
      <c r="G3" s="11"/>
    </row>
    <row r="4" customFormat="false" ht="60" hidden="false" customHeight="true" outlineLevel="0" collapsed="false">
      <c r="A4" s="13"/>
      <c r="B4" s="8"/>
      <c r="C4" s="24" t="s">
        <v>347</v>
      </c>
      <c r="D4" s="7" t="s">
        <v>348</v>
      </c>
      <c r="E4" s="11"/>
      <c r="F4" s="11"/>
      <c r="G4" s="11"/>
    </row>
    <row r="5" customFormat="false" ht="60" hidden="false" customHeight="true" outlineLevel="0" collapsed="false">
      <c r="A5" s="13"/>
      <c r="B5" s="8"/>
      <c r="C5" s="24" t="s">
        <v>349</v>
      </c>
      <c r="D5" s="8" t="s">
        <v>350</v>
      </c>
      <c r="E5" s="11"/>
      <c r="F5" s="11"/>
      <c r="G5" s="11"/>
    </row>
    <row r="6" customFormat="false" ht="26.85" hidden="false" customHeight="false" outlineLevel="0" collapsed="false">
      <c r="A6" s="13"/>
      <c r="C6" s="13" t="s">
        <v>351</v>
      </c>
      <c r="D6" s="8" t="s">
        <v>352</v>
      </c>
      <c r="E6" s="11"/>
      <c r="F6" s="11"/>
      <c r="G6" s="11"/>
    </row>
    <row r="8" customFormat="false" ht="60" hidden="false" customHeight="true" outlineLevel="0" collapsed="false">
      <c r="A8" s="24" t="s">
        <v>353</v>
      </c>
      <c r="B8" s="7" t="s">
        <v>354</v>
      </c>
      <c r="C8" s="24" t="s">
        <v>343</v>
      </c>
      <c r="D8" s="8" t="s">
        <v>355</v>
      </c>
      <c r="E8" s="11"/>
      <c r="F8" s="11"/>
      <c r="G8" s="11"/>
    </row>
    <row r="9" customFormat="false" ht="60" hidden="false" customHeight="true" outlineLevel="0" collapsed="false">
      <c r="A9" s="13"/>
      <c r="B9" s="8"/>
      <c r="C9" s="24" t="s">
        <v>345</v>
      </c>
      <c r="D9" s="7" t="s">
        <v>356</v>
      </c>
      <c r="E9" s="11"/>
      <c r="F9" s="11"/>
      <c r="G9" s="11"/>
    </row>
    <row r="10" customFormat="false" ht="60" hidden="false" customHeight="true" outlineLevel="0" collapsed="false">
      <c r="A10" s="13"/>
      <c r="B10" s="8"/>
      <c r="C10" s="24" t="s">
        <v>347</v>
      </c>
      <c r="D10" s="7" t="s">
        <v>357</v>
      </c>
      <c r="E10" s="11"/>
      <c r="F10" s="11"/>
      <c r="G10" s="11"/>
    </row>
    <row r="11" customFormat="false" ht="60" hidden="false" customHeight="true" outlineLevel="0" collapsed="false">
      <c r="A11" s="13"/>
      <c r="B11" s="8"/>
      <c r="C11" s="24" t="s">
        <v>349</v>
      </c>
      <c r="D11" s="8" t="s">
        <v>358</v>
      </c>
      <c r="E11" s="11"/>
      <c r="F11" s="11"/>
      <c r="G11" s="11"/>
    </row>
    <row r="12" customFormat="false" ht="26.85" hidden="false" customHeight="false" outlineLevel="0" collapsed="false">
      <c r="A12" s="13"/>
      <c r="C12" s="13" t="s">
        <v>351</v>
      </c>
      <c r="D12" s="8" t="s">
        <v>352</v>
      </c>
      <c r="E12" s="11"/>
      <c r="F12" s="11"/>
      <c r="G12" s="11"/>
    </row>
    <row r="14" customFormat="false" ht="60" hidden="false" customHeight="true" outlineLevel="0" collapsed="false">
      <c r="A14" s="24" t="s">
        <v>359</v>
      </c>
      <c r="B14" s="7" t="s">
        <v>360</v>
      </c>
      <c r="C14" s="24" t="s">
        <v>343</v>
      </c>
      <c r="D14" s="7" t="s">
        <v>361</v>
      </c>
      <c r="E14" s="11"/>
      <c r="F14" s="11"/>
      <c r="G14" s="11"/>
    </row>
    <row r="15" customFormat="false" ht="60" hidden="false" customHeight="true" outlineLevel="0" collapsed="false">
      <c r="A15" s="13"/>
      <c r="B15" s="8"/>
      <c r="C15" s="24" t="s">
        <v>345</v>
      </c>
      <c r="D15" s="8" t="s">
        <v>362</v>
      </c>
      <c r="E15" s="11"/>
      <c r="F15" s="11"/>
      <c r="G15" s="11"/>
    </row>
    <row r="16" customFormat="false" ht="60" hidden="false" customHeight="true" outlineLevel="0" collapsed="false">
      <c r="A16" s="13"/>
      <c r="B16" s="8"/>
      <c r="C16" s="24" t="s">
        <v>347</v>
      </c>
      <c r="D16" s="7" t="s">
        <v>363</v>
      </c>
      <c r="E16" s="11"/>
      <c r="F16" s="11"/>
      <c r="G16" s="11"/>
    </row>
    <row r="17" customFormat="false" ht="60" hidden="false" customHeight="true" outlineLevel="0" collapsed="false">
      <c r="A17" s="13"/>
      <c r="B17" s="8"/>
      <c r="C17" s="24" t="s">
        <v>349</v>
      </c>
      <c r="D17" s="7" t="s">
        <v>364</v>
      </c>
      <c r="E17" s="11"/>
      <c r="F17" s="11"/>
      <c r="G17" s="11"/>
    </row>
    <row r="18" customFormat="false" ht="26.85" hidden="false" customHeight="false" outlineLevel="0" collapsed="false">
      <c r="A18" s="13"/>
      <c r="C18" s="13" t="s">
        <v>351</v>
      </c>
      <c r="D18" s="8" t="s">
        <v>352</v>
      </c>
      <c r="E18" s="11"/>
      <c r="F18" s="11"/>
      <c r="G18" s="11"/>
    </row>
    <row r="20" customFormat="false" ht="60" hidden="false" customHeight="true" outlineLevel="0" collapsed="false">
      <c r="A20" s="24" t="s">
        <v>365</v>
      </c>
      <c r="B20" s="7" t="s">
        <v>366</v>
      </c>
      <c r="C20" s="24" t="s">
        <v>343</v>
      </c>
      <c r="D20" s="7" t="s">
        <v>367</v>
      </c>
      <c r="E20" s="11"/>
      <c r="F20" s="11"/>
      <c r="G20" s="11"/>
    </row>
    <row r="21" customFormat="false" ht="60" hidden="false" customHeight="true" outlineLevel="0" collapsed="false">
      <c r="A21" s="13"/>
      <c r="B21" s="8"/>
      <c r="C21" s="24" t="s">
        <v>345</v>
      </c>
      <c r="D21" s="8" t="s">
        <v>368</v>
      </c>
      <c r="E21" s="11"/>
      <c r="F21" s="11"/>
      <c r="G21" s="11"/>
    </row>
    <row r="22" customFormat="false" ht="60" hidden="false" customHeight="true" outlineLevel="0" collapsed="false">
      <c r="A22" s="13"/>
      <c r="B22" s="8"/>
      <c r="C22" s="24" t="s">
        <v>347</v>
      </c>
      <c r="D22" s="7" t="s">
        <v>369</v>
      </c>
      <c r="E22" s="11"/>
      <c r="F22" s="11"/>
      <c r="G22" s="11"/>
    </row>
    <row r="23" customFormat="false" ht="60" hidden="false" customHeight="true" outlineLevel="0" collapsed="false">
      <c r="A23" s="13"/>
      <c r="B23" s="8"/>
      <c r="C23" s="24" t="s">
        <v>349</v>
      </c>
      <c r="D23" s="7" t="s">
        <v>370</v>
      </c>
      <c r="E23" s="11"/>
      <c r="F23" s="11"/>
      <c r="G23" s="11"/>
    </row>
    <row r="24" customFormat="false" ht="26.85" hidden="false" customHeight="false" outlineLevel="0" collapsed="false">
      <c r="A24" s="13"/>
      <c r="C24" s="13" t="s">
        <v>351</v>
      </c>
      <c r="D24" s="8" t="s">
        <v>352</v>
      </c>
      <c r="E24" s="11"/>
      <c r="F24" s="11"/>
      <c r="G24" s="11"/>
    </row>
    <row r="26" customFormat="false" ht="60" hidden="false" customHeight="true" outlineLevel="0" collapsed="false">
      <c r="A26" s="24" t="s">
        <v>371</v>
      </c>
      <c r="B26" s="7" t="s">
        <v>372</v>
      </c>
      <c r="C26" s="24" t="s">
        <v>343</v>
      </c>
      <c r="D26" s="8" t="s">
        <v>373</v>
      </c>
      <c r="E26" s="11"/>
      <c r="F26" s="11"/>
      <c r="G26" s="11"/>
    </row>
    <row r="27" customFormat="false" ht="60" hidden="false" customHeight="true" outlineLevel="0" collapsed="false">
      <c r="A27" s="13"/>
      <c r="B27" s="8"/>
      <c r="C27" s="24" t="s">
        <v>345</v>
      </c>
      <c r="D27" s="7" t="s">
        <v>374</v>
      </c>
      <c r="E27" s="11"/>
      <c r="F27" s="11"/>
      <c r="G27" s="11"/>
    </row>
    <row r="28" customFormat="false" ht="60" hidden="false" customHeight="true" outlineLevel="0" collapsed="false">
      <c r="A28" s="13"/>
      <c r="B28" s="8"/>
      <c r="C28" s="24" t="s">
        <v>347</v>
      </c>
      <c r="D28" s="8" t="s">
        <v>375</v>
      </c>
      <c r="E28" s="11"/>
      <c r="F28" s="11"/>
      <c r="G28" s="11"/>
    </row>
    <row r="29" customFormat="false" ht="60" hidden="false" customHeight="true" outlineLevel="0" collapsed="false">
      <c r="A29" s="13"/>
      <c r="B29" s="8"/>
      <c r="C29" s="24" t="s">
        <v>349</v>
      </c>
      <c r="D29" s="8" t="s">
        <v>376</v>
      </c>
      <c r="E29" s="11"/>
      <c r="F29" s="11"/>
      <c r="G29" s="11"/>
    </row>
    <row r="30" customFormat="false" ht="26.85" hidden="false" customHeight="false" outlineLevel="0" collapsed="false">
      <c r="A30" s="13"/>
      <c r="C30" s="13" t="s">
        <v>351</v>
      </c>
      <c r="D30" s="8" t="s">
        <v>352</v>
      </c>
      <c r="E30" s="11"/>
      <c r="F30" s="11"/>
      <c r="G30" s="11"/>
    </row>
    <row r="32" customFormat="false" ht="60" hidden="false" customHeight="true" outlineLevel="0" collapsed="false">
      <c r="A32" s="24" t="s">
        <v>377</v>
      </c>
      <c r="B32" s="7" t="s">
        <v>378</v>
      </c>
      <c r="C32" s="24" t="s">
        <v>343</v>
      </c>
      <c r="D32" s="7" t="s">
        <v>379</v>
      </c>
      <c r="E32" s="11"/>
      <c r="F32" s="11"/>
      <c r="G32" s="11"/>
    </row>
    <row r="33" customFormat="false" ht="60" hidden="false" customHeight="true" outlineLevel="0" collapsed="false">
      <c r="A33" s="13"/>
      <c r="B33" s="8"/>
      <c r="C33" s="24" t="s">
        <v>345</v>
      </c>
      <c r="D33" s="7" t="s">
        <v>380</v>
      </c>
      <c r="E33" s="11"/>
      <c r="F33" s="11"/>
      <c r="G33" s="11"/>
    </row>
    <row r="34" customFormat="false" ht="60" hidden="false" customHeight="true" outlineLevel="0" collapsed="false">
      <c r="A34" s="13"/>
      <c r="B34" s="8"/>
      <c r="C34" s="24" t="s">
        <v>347</v>
      </c>
      <c r="D34" s="8" t="s">
        <v>381</v>
      </c>
      <c r="E34" s="11"/>
      <c r="F34" s="11"/>
      <c r="G34" s="11"/>
    </row>
    <row r="35" customFormat="false" ht="60" hidden="false" customHeight="true" outlineLevel="0" collapsed="false">
      <c r="A35" s="13"/>
      <c r="B35" s="8"/>
      <c r="C35" s="24" t="s">
        <v>349</v>
      </c>
      <c r="D35" s="7" t="s">
        <v>382</v>
      </c>
      <c r="E35" s="11"/>
      <c r="F35" s="11"/>
      <c r="G35" s="11"/>
    </row>
    <row r="36" customFormat="false" ht="26.85" hidden="false" customHeight="false" outlineLevel="0" collapsed="false">
      <c r="A36" s="13"/>
      <c r="C36" s="13" t="s">
        <v>351</v>
      </c>
      <c r="D36" s="8" t="s">
        <v>352</v>
      </c>
      <c r="E36" s="11"/>
      <c r="F36" s="11"/>
      <c r="G36"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30"/>
    <col collapsed="false" customWidth="true" hidden="false" outlineLevel="0" max="5" min="5" style="0" width="40"/>
  </cols>
  <sheetData>
    <row r="1" customFormat="false" ht="15" hidden="false" customHeight="false" outlineLevel="0" collapsed="false">
      <c r="A1" s="5" t="s">
        <v>383</v>
      </c>
      <c r="B1" s="6" t="s">
        <v>384</v>
      </c>
      <c r="C1" s="6" t="s">
        <v>385</v>
      </c>
      <c r="D1" s="6" t="s">
        <v>386</v>
      </c>
      <c r="E1" s="6" t="s">
        <v>387</v>
      </c>
    </row>
    <row r="2" customFormat="false" ht="36" hidden="false" customHeight="true" outlineLevel="0" collapsed="false">
      <c r="A2" s="17" t="n">
        <v>1</v>
      </c>
      <c r="B2" s="17" t="s">
        <v>341</v>
      </c>
      <c r="C2" s="8" t="s">
        <v>388</v>
      </c>
      <c r="D2" s="8" t="s">
        <v>389</v>
      </c>
      <c r="E2" s="7" t="s">
        <v>390</v>
      </c>
    </row>
    <row r="3" customFormat="false" ht="36" hidden="false" customHeight="true" outlineLevel="0" collapsed="false">
      <c r="A3" s="17" t="n">
        <v>2</v>
      </c>
      <c r="B3" s="17" t="s">
        <v>391</v>
      </c>
      <c r="C3" s="8" t="s">
        <v>392</v>
      </c>
      <c r="D3" s="8" t="s">
        <v>393</v>
      </c>
      <c r="E3" s="7" t="s">
        <v>394</v>
      </c>
    </row>
    <row r="4" customFormat="false" ht="36" hidden="false" customHeight="true" outlineLevel="0" collapsed="false">
      <c r="A4" s="17" t="n">
        <v>3</v>
      </c>
      <c r="B4" s="17" t="s">
        <v>353</v>
      </c>
      <c r="C4" s="8" t="s">
        <v>395</v>
      </c>
      <c r="D4" s="7" t="s">
        <v>396</v>
      </c>
      <c r="E4" s="7" t="s">
        <v>397</v>
      </c>
    </row>
    <row r="5" customFormat="false" ht="36" hidden="false" customHeight="true" outlineLevel="0" collapsed="false">
      <c r="A5" s="17" t="n">
        <v>4</v>
      </c>
      <c r="B5" s="17" t="s">
        <v>359</v>
      </c>
      <c r="C5" s="8" t="s">
        <v>398</v>
      </c>
      <c r="D5" s="8" t="s">
        <v>399</v>
      </c>
      <c r="E5" s="7" t="s">
        <v>400</v>
      </c>
    </row>
    <row r="6" customFormat="false" ht="36" hidden="false" customHeight="true" outlineLevel="0" collapsed="false">
      <c r="A6" s="17" t="n">
        <v>5</v>
      </c>
      <c r="B6" s="17" t="s">
        <v>359</v>
      </c>
      <c r="C6" s="7" t="s">
        <v>401</v>
      </c>
      <c r="D6" s="8" t="s">
        <v>399</v>
      </c>
      <c r="E6" s="7" t="s">
        <v>402</v>
      </c>
    </row>
    <row r="7" customFormat="false" ht="36" hidden="false" customHeight="true" outlineLevel="0" collapsed="false">
      <c r="A7" s="17" t="n">
        <v>6</v>
      </c>
      <c r="B7" s="17" t="s">
        <v>371</v>
      </c>
      <c r="C7" s="7" t="s">
        <v>403</v>
      </c>
      <c r="D7" s="8" t="s">
        <v>404</v>
      </c>
      <c r="E7" s="7" t="s">
        <v>405</v>
      </c>
    </row>
    <row r="8" customFormat="false" ht="36" hidden="false" customHeight="true" outlineLevel="0" collapsed="false">
      <c r="A8" s="17" t="n">
        <v>7</v>
      </c>
      <c r="B8" s="17" t="s">
        <v>377</v>
      </c>
      <c r="C8" s="7" t="s">
        <v>406</v>
      </c>
      <c r="D8" s="8" t="s">
        <v>407</v>
      </c>
      <c r="E8" s="7" t="s">
        <v>408</v>
      </c>
    </row>
    <row r="9" customFormat="false" ht="36" hidden="false" customHeight="true" outlineLevel="0" collapsed="false">
      <c r="A9" s="17" t="n">
        <v>8</v>
      </c>
      <c r="B9" s="17" t="s">
        <v>377</v>
      </c>
      <c r="C9" s="7" t="s">
        <v>409</v>
      </c>
      <c r="D9" s="8" t="s">
        <v>410</v>
      </c>
      <c r="E9" s="7" t="s">
        <v>411</v>
      </c>
    </row>
    <row r="10" customFormat="false" ht="36" hidden="false" customHeight="true" outlineLevel="0" collapsed="false">
      <c r="A10" s="17" t="n">
        <v>9</v>
      </c>
      <c r="B10" s="25" t="s">
        <v>412</v>
      </c>
      <c r="C10" s="8" t="s">
        <v>413</v>
      </c>
      <c r="D10" s="8" t="s">
        <v>414</v>
      </c>
      <c r="E10" s="8" t="s">
        <v>415</v>
      </c>
    </row>
    <row r="11" customFormat="false" ht="36" hidden="false" customHeight="true" outlineLevel="0" collapsed="false">
      <c r="A11" s="25" t="n">
        <v>10</v>
      </c>
      <c r="B11" s="25" t="s">
        <v>412</v>
      </c>
      <c r="C11" s="8" t="s">
        <v>416</v>
      </c>
      <c r="D11" s="8" t="s">
        <v>414</v>
      </c>
      <c r="E11" s="7" t="s">
        <v>417</v>
      </c>
    </row>
    <row r="12" customFormat="false" ht="36" hidden="false" customHeight="true" outlineLevel="0" collapsed="false">
      <c r="A12" s="25" t="n">
        <v>11</v>
      </c>
      <c r="B12" s="25" t="s">
        <v>412</v>
      </c>
      <c r="C12" s="7" t="s">
        <v>418</v>
      </c>
      <c r="D12" s="8" t="s">
        <v>414</v>
      </c>
      <c r="E12" s="8" t="s">
        <v>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4" min="3" style="0" width="11"/>
    <col collapsed="false" customWidth="true" hidden="false" outlineLevel="0" max="5" min="5" style="0" width="36"/>
    <col collapsed="false" customWidth="true" hidden="false" outlineLevel="0" max="6" min="6" style="0" width="20"/>
    <col collapsed="false" customWidth="true" hidden="false" outlineLevel="0" max="7" min="7" style="0" width="6"/>
    <col collapsed="false" customWidth="true" hidden="false" outlineLevel="0" max="8" min="8" style="0" width="24"/>
    <col collapsed="false" customWidth="true" hidden="false" outlineLevel="0" max="9" min="9" style="0" width="60"/>
    <col collapsed="false" customWidth="true" hidden="false" outlineLevel="0" max="10" min="10" style="0" width="10"/>
    <col collapsed="false" customWidth="true" hidden="false" outlineLevel="0" max="13" min="11" style="0" width="12"/>
    <col collapsed="false" customWidth="true" hidden="false" outlineLevel="0" max="14" min="14" style="0" width="10"/>
  </cols>
  <sheetData>
    <row r="1" customFormat="false" ht="39.55" hidden="false" customHeight="false" outlineLevel="0" collapsed="false">
      <c r="A1" s="5" t="s">
        <v>19</v>
      </c>
      <c r="B1" s="6" t="s">
        <v>20</v>
      </c>
      <c r="C1" s="6" t="s">
        <v>22</v>
      </c>
      <c r="D1" s="6" t="s">
        <v>23</v>
      </c>
      <c r="E1" s="6" t="s">
        <v>25</v>
      </c>
      <c r="F1" s="6" t="s">
        <v>26</v>
      </c>
      <c r="G1" s="6" t="s">
        <v>27</v>
      </c>
      <c r="H1" s="6" t="s">
        <v>28</v>
      </c>
      <c r="I1" s="6" t="s">
        <v>30</v>
      </c>
      <c r="J1" s="6" t="s">
        <v>32</v>
      </c>
      <c r="K1" s="6" t="s">
        <v>33</v>
      </c>
      <c r="L1" s="6" t="s">
        <v>34</v>
      </c>
      <c r="M1" s="6" t="s">
        <v>35</v>
      </c>
      <c r="N1" s="6" t="s">
        <v>420</v>
      </c>
    </row>
    <row r="2" customFormat="false" ht="45" hidden="false" customHeight="true" outlineLevel="0" collapsed="false">
      <c r="A2" s="8" t="n">
        <v>1</v>
      </c>
      <c r="B2" s="7" t="s">
        <v>421</v>
      </c>
      <c r="C2" s="7" t="s">
        <v>422</v>
      </c>
      <c r="D2" s="7" t="s">
        <v>422</v>
      </c>
      <c r="E2" s="8" t="s">
        <v>423</v>
      </c>
      <c r="F2" s="8" t="s">
        <v>424</v>
      </c>
      <c r="G2" s="7" t="s">
        <v>64</v>
      </c>
      <c r="H2" s="8" t="s">
        <v>425</v>
      </c>
      <c r="I2" s="8" t="s">
        <v>426</v>
      </c>
      <c r="J2" s="7" t="s">
        <v>67</v>
      </c>
      <c r="K2" s="12" t="n">
        <v>44167</v>
      </c>
      <c r="L2" s="12" t="n">
        <v>44286</v>
      </c>
      <c r="M2" s="12" t="n">
        <v>44316</v>
      </c>
      <c r="N2" s="8"/>
    </row>
    <row r="3" customFormat="false" ht="45" hidden="false" customHeight="true" outlineLevel="0" collapsed="false">
      <c r="A3" s="8" t="n">
        <v>2</v>
      </c>
      <c r="B3" s="7" t="s">
        <v>427</v>
      </c>
      <c r="C3" s="7" t="s">
        <v>428</v>
      </c>
      <c r="D3" s="7" t="s">
        <v>429</v>
      </c>
      <c r="E3" s="8" t="s">
        <v>430</v>
      </c>
      <c r="F3" s="8" t="s">
        <v>431</v>
      </c>
      <c r="G3" s="7" t="s">
        <v>64</v>
      </c>
      <c r="H3" s="7" t="s">
        <v>432</v>
      </c>
      <c r="I3" s="8" t="s">
        <v>433</v>
      </c>
      <c r="J3" s="7" t="s">
        <v>67</v>
      </c>
      <c r="K3" s="12" t="n">
        <v>44286</v>
      </c>
      <c r="L3" s="12" t="n">
        <v>44286</v>
      </c>
      <c r="M3" s="12" t="n">
        <v>44286</v>
      </c>
      <c r="N3" s="8"/>
    </row>
    <row r="4" customFormat="false" ht="45" hidden="false" customHeight="true" outlineLevel="0" collapsed="false">
      <c r="A4" s="8" t="n">
        <v>3</v>
      </c>
      <c r="B4" s="7" t="s">
        <v>434</v>
      </c>
      <c r="C4" s="8"/>
      <c r="D4" s="7" t="s">
        <v>435</v>
      </c>
      <c r="E4" s="8" t="s">
        <v>436</v>
      </c>
      <c r="F4" s="8" t="s">
        <v>431</v>
      </c>
      <c r="G4" s="7" t="s">
        <v>155</v>
      </c>
      <c r="H4" s="7" t="s">
        <v>437</v>
      </c>
      <c r="I4" s="8" t="s">
        <v>438</v>
      </c>
      <c r="J4" s="7" t="s">
        <v>56</v>
      </c>
      <c r="K4" s="12" t="n">
        <v>44356</v>
      </c>
      <c r="L4" s="12" t="n">
        <v>44336</v>
      </c>
      <c r="M4" s="12" t="n">
        <v>44356</v>
      </c>
      <c r="N4" s="8"/>
    </row>
    <row r="5" customFormat="false" ht="45" hidden="false" customHeight="true" outlineLevel="0" collapsed="false">
      <c r="A5" s="8" t="n">
        <v>4</v>
      </c>
      <c r="B5" s="7" t="s">
        <v>439</v>
      </c>
      <c r="C5" s="7" t="s">
        <v>440</v>
      </c>
      <c r="D5" s="7" t="s">
        <v>441</v>
      </c>
      <c r="E5" s="8" t="s">
        <v>430</v>
      </c>
      <c r="F5" s="8" t="s">
        <v>431</v>
      </c>
      <c r="G5" s="7" t="s">
        <v>155</v>
      </c>
      <c r="H5" s="7" t="s">
        <v>442</v>
      </c>
      <c r="I5" s="8" t="s">
        <v>443</v>
      </c>
      <c r="J5" s="7" t="s">
        <v>56</v>
      </c>
      <c r="K5" s="12" t="n">
        <v>44469</v>
      </c>
      <c r="L5" s="12" t="n">
        <v>44499</v>
      </c>
      <c r="M5" s="12" t="n">
        <v>44487</v>
      </c>
      <c r="N5" s="8"/>
    </row>
    <row r="6" customFormat="false" ht="45" hidden="false" customHeight="true" outlineLevel="0" collapsed="false">
      <c r="A6" s="8" t="n">
        <v>5</v>
      </c>
      <c r="B6" s="7" t="s">
        <v>444</v>
      </c>
      <c r="C6" s="7" t="s">
        <v>445</v>
      </c>
      <c r="D6" s="7" t="s">
        <v>445</v>
      </c>
      <c r="E6" s="8" t="s">
        <v>446</v>
      </c>
      <c r="F6" s="8" t="s">
        <v>431</v>
      </c>
      <c r="G6" s="7" t="s">
        <v>155</v>
      </c>
      <c r="H6" s="8"/>
      <c r="I6" s="7" t="s">
        <v>447</v>
      </c>
      <c r="J6" s="7" t="s">
        <v>56</v>
      </c>
      <c r="K6" s="8"/>
      <c r="L6" s="8"/>
      <c r="M6" s="8"/>
      <c r="N6" s="8"/>
    </row>
    <row r="7" customFormat="false" ht="45" hidden="false" customHeight="true" outlineLevel="0" collapsed="false">
      <c r="A7" s="8" t="n">
        <v>6</v>
      </c>
      <c r="B7" s="7" t="s">
        <v>448</v>
      </c>
      <c r="C7" s="7" t="s">
        <v>449</v>
      </c>
      <c r="D7" s="7" t="s">
        <v>449</v>
      </c>
      <c r="E7" s="8" t="s">
        <v>450</v>
      </c>
      <c r="F7" s="8"/>
      <c r="G7" s="8"/>
      <c r="H7" s="8" t="s">
        <v>451</v>
      </c>
      <c r="I7" s="8" t="s">
        <v>452</v>
      </c>
      <c r="J7" s="8"/>
      <c r="K7" s="8"/>
      <c r="L7" s="8"/>
      <c r="M7" s="8"/>
      <c r="N7" s="8"/>
    </row>
    <row r="8" customFormat="false" ht="45" hidden="false" customHeight="true" outlineLevel="0" collapsed="false">
      <c r="A8" s="8" t="n">
        <v>7</v>
      </c>
      <c r="B8" s="7" t="s">
        <v>453</v>
      </c>
      <c r="C8" s="7" t="s">
        <v>449</v>
      </c>
      <c r="D8" s="7" t="s">
        <v>449</v>
      </c>
      <c r="E8" s="8" t="s">
        <v>450</v>
      </c>
      <c r="F8" s="8"/>
      <c r="G8" s="8"/>
      <c r="H8" s="7" t="s">
        <v>454</v>
      </c>
      <c r="I8" s="8" t="s">
        <v>452</v>
      </c>
      <c r="J8" s="8"/>
      <c r="K8" s="8"/>
      <c r="L8" s="8"/>
      <c r="M8" s="8"/>
      <c r="N8" s="8"/>
    </row>
    <row r="9" customFormat="false" ht="45" hidden="false" customHeight="true" outlineLevel="0" collapsed="false">
      <c r="A9" s="8" t="n">
        <v>8</v>
      </c>
      <c r="B9" s="7" t="s">
        <v>455</v>
      </c>
      <c r="C9" s="7" t="s">
        <v>456</v>
      </c>
      <c r="D9" s="7" t="s">
        <v>456</v>
      </c>
      <c r="E9" s="7" t="s">
        <v>457</v>
      </c>
      <c r="F9" s="8" t="s">
        <v>431</v>
      </c>
      <c r="G9" s="7" t="s">
        <v>64</v>
      </c>
      <c r="H9" s="7" t="s">
        <v>458</v>
      </c>
      <c r="I9" s="7" t="s">
        <v>447</v>
      </c>
      <c r="J9" s="7" t="s">
        <v>67</v>
      </c>
      <c r="K9" s="12" t="n">
        <v>44496</v>
      </c>
      <c r="L9" s="12" t="n">
        <v>44592</v>
      </c>
      <c r="M9" s="12" t="n">
        <v>44592</v>
      </c>
      <c r="N9" s="8"/>
    </row>
    <row r="10" customFormat="false" ht="45" hidden="false" customHeight="true" outlineLevel="0" collapsed="false">
      <c r="A10" s="8" t="n">
        <v>9</v>
      </c>
      <c r="B10" s="7" t="s">
        <v>459</v>
      </c>
      <c r="C10" s="7" t="s">
        <v>460</v>
      </c>
      <c r="D10" s="7" t="s">
        <v>461</v>
      </c>
      <c r="E10" s="8" t="s">
        <v>230</v>
      </c>
      <c r="F10" s="8" t="s">
        <v>431</v>
      </c>
      <c r="G10" s="7" t="s">
        <v>155</v>
      </c>
      <c r="H10" s="8" t="s">
        <v>462</v>
      </c>
      <c r="I10" s="8" t="s">
        <v>463</v>
      </c>
      <c r="J10" s="7" t="s">
        <v>56</v>
      </c>
      <c r="K10" s="12" t="n">
        <v>44529</v>
      </c>
      <c r="L10" s="12" t="n">
        <v>44529</v>
      </c>
      <c r="M10" s="12" t="n">
        <v>44529</v>
      </c>
      <c r="N10" s="8"/>
    </row>
    <row r="11" customFormat="false" ht="45" hidden="false" customHeight="true" outlineLevel="0" collapsed="false">
      <c r="A11" s="8" t="n">
        <v>10</v>
      </c>
      <c r="B11" s="7" t="s">
        <v>464</v>
      </c>
      <c r="C11" s="7" t="s">
        <v>465</v>
      </c>
      <c r="D11" s="7" t="s">
        <v>466</v>
      </c>
      <c r="E11" s="7" t="s">
        <v>467</v>
      </c>
      <c r="F11" s="8" t="s">
        <v>431</v>
      </c>
      <c r="G11" s="7" t="s">
        <v>155</v>
      </c>
      <c r="H11" s="8" t="s">
        <v>468</v>
      </c>
      <c r="I11" s="7" t="s">
        <v>469</v>
      </c>
      <c r="J11" s="7" t="s">
        <v>56</v>
      </c>
      <c r="K11" s="12" t="n">
        <v>44578</v>
      </c>
      <c r="L11" s="12" t="n">
        <v>44578</v>
      </c>
      <c r="M11" s="12" t="n">
        <v>44578</v>
      </c>
      <c r="N11" s="8"/>
    </row>
    <row r="12" customFormat="false" ht="45" hidden="false" customHeight="true" outlineLevel="0" collapsed="false">
      <c r="A12" s="8" t="n">
        <v>11</v>
      </c>
      <c r="B12" s="7" t="s">
        <v>470</v>
      </c>
      <c r="C12" s="7" t="s">
        <v>471</v>
      </c>
      <c r="D12" s="7" t="s">
        <v>472</v>
      </c>
      <c r="E12" s="7" t="s">
        <v>473</v>
      </c>
      <c r="F12" s="8" t="s">
        <v>424</v>
      </c>
      <c r="G12" s="7" t="s">
        <v>64</v>
      </c>
      <c r="H12" s="8" t="s">
        <v>474</v>
      </c>
      <c r="I12" s="8" t="s">
        <v>475</v>
      </c>
      <c r="J12" s="7" t="s">
        <v>67</v>
      </c>
      <c r="K12" s="12" t="n">
        <v>44553</v>
      </c>
      <c r="L12" s="12" t="n">
        <v>44553</v>
      </c>
      <c r="M12" s="12" t="n">
        <v>44553</v>
      </c>
      <c r="N12" s="8"/>
    </row>
    <row r="13" customFormat="false" ht="45" hidden="false" customHeight="true" outlineLevel="0" collapsed="false">
      <c r="A13" s="8" t="n">
        <v>12</v>
      </c>
      <c r="B13" s="7" t="s">
        <v>476</v>
      </c>
      <c r="C13" s="7" t="s">
        <v>472</v>
      </c>
      <c r="D13" s="7" t="s">
        <v>477</v>
      </c>
      <c r="E13" s="8" t="s">
        <v>478</v>
      </c>
      <c r="F13" s="8" t="s">
        <v>431</v>
      </c>
      <c r="G13" s="7" t="s">
        <v>155</v>
      </c>
      <c r="H13" s="8" t="s">
        <v>479</v>
      </c>
      <c r="I13" s="8" t="s">
        <v>480</v>
      </c>
      <c r="J13" s="7" t="s">
        <v>56</v>
      </c>
      <c r="K13" s="12" t="n">
        <v>44553</v>
      </c>
      <c r="L13" s="12" t="n">
        <v>44550</v>
      </c>
      <c r="M13" s="12" t="n">
        <v>44550</v>
      </c>
      <c r="N13" s="8"/>
    </row>
    <row r="14" customFormat="false" ht="45" hidden="false" customHeight="true" outlineLevel="0" collapsed="false">
      <c r="A14" s="8" t="n">
        <v>13</v>
      </c>
      <c r="B14" s="7" t="s">
        <v>481</v>
      </c>
      <c r="C14" s="7" t="s">
        <v>482</v>
      </c>
      <c r="D14" s="7" t="s">
        <v>483</v>
      </c>
      <c r="E14" s="8" t="s">
        <v>484</v>
      </c>
      <c r="F14" s="8" t="s">
        <v>431</v>
      </c>
      <c r="G14" s="7" t="s">
        <v>64</v>
      </c>
      <c r="H14" s="8" t="s">
        <v>485</v>
      </c>
      <c r="I14" s="8" t="s">
        <v>486</v>
      </c>
      <c r="J14" s="7" t="s">
        <v>67</v>
      </c>
      <c r="K14" s="12" t="n">
        <v>44553</v>
      </c>
      <c r="L14" s="12" t="n">
        <v>44592</v>
      </c>
      <c r="M14" s="12" t="n">
        <v>44592</v>
      </c>
      <c r="N14" s="8"/>
    </row>
    <row r="15" customFormat="false" ht="45" hidden="false" customHeight="true" outlineLevel="0" collapsed="false">
      <c r="A15" s="8" t="n">
        <v>14</v>
      </c>
      <c r="B15" s="7" t="s">
        <v>487</v>
      </c>
      <c r="C15" s="7" t="s">
        <v>465</v>
      </c>
      <c r="D15" s="7" t="s">
        <v>477</v>
      </c>
      <c r="E15" s="8" t="s">
        <v>488</v>
      </c>
      <c r="F15" s="8"/>
      <c r="G15" s="8"/>
      <c r="H15" s="8" t="s">
        <v>489</v>
      </c>
      <c r="I15" s="8"/>
      <c r="J15" s="8"/>
      <c r="K15" s="8"/>
      <c r="L15" s="8"/>
      <c r="M15" s="8"/>
      <c r="N15" s="8"/>
    </row>
    <row r="16" customFormat="false" ht="45" hidden="false" customHeight="true" outlineLevel="0" collapsed="false">
      <c r="A16" s="8" t="n">
        <v>15</v>
      </c>
      <c r="B16" s="7" t="s">
        <v>490</v>
      </c>
      <c r="C16" s="7" t="s">
        <v>491</v>
      </c>
      <c r="D16" s="7" t="s">
        <v>492</v>
      </c>
      <c r="E16" s="7" t="s">
        <v>493</v>
      </c>
      <c r="F16" s="8" t="s">
        <v>424</v>
      </c>
      <c r="G16" s="7" t="s">
        <v>64</v>
      </c>
      <c r="H16" s="7" t="s">
        <v>494</v>
      </c>
      <c r="I16" s="8" t="s">
        <v>495</v>
      </c>
      <c r="J16" s="7" t="s">
        <v>67</v>
      </c>
      <c r="K16" s="12" t="n">
        <v>44553</v>
      </c>
      <c r="L16" s="12" t="n">
        <v>44553</v>
      </c>
      <c r="M16" s="12" t="n">
        <v>44553</v>
      </c>
      <c r="N16" s="8"/>
    </row>
    <row r="17" customFormat="false" ht="45" hidden="false" customHeight="true" outlineLevel="0" collapsed="false">
      <c r="A17" s="8" t="n">
        <v>17</v>
      </c>
      <c r="B17" s="7" t="s">
        <v>496</v>
      </c>
      <c r="C17" s="7" t="s">
        <v>497</v>
      </c>
      <c r="D17" s="7" t="s">
        <v>498</v>
      </c>
      <c r="E17" s="7" t="s">
        <v>499</v>
      </c>
      <c r="F17" s="8" t="s">
        <v>424</v>
      </c>
      <c r="G17" s="7" t="s">
        <v>155</v>
      </c>
      <c r="H17" s="7" t="s">
        <v>500</v>
      </c>
      <c r="I17" s="7" t="s">
        <v>501</v>
      </c>
      <c r="J17" s="7" t="s">
        <v>56</v>
      </c>
      <c r="K17" s="12" t="n">
        <v>44608</v>
      </c>
      <c r="L17" s="8"/>
      <c r="M17" s="8"/>
      <c r="N17" s="8"/>
    </row>
    <row r="18" customFormat="false" ht="45" hidden="false" customHeight="true" outlineLevel="0" collapsed="false">
      <c r="A18" s="8" t="n">
        <v>18</v>
      </c>
      <c r="B18" s="7" t="s">
        <v>502</v>
      </c>
      <c r="C18" s="7" t="s">
        <v>503</v>
      </c>
      <c r="D18" s="7" t="s">
        <v>504</v>
      </c>
      <c r="E18" s="8" t="s">
        <v>505</v>
      </c>
      <c r="F18" s="8" t="s">
        <v>424</v>
      </c>
      <c r="G18" s="7" t="s">
        <v>64</v>
      </c>
      <c r="H18" s="7" t="s">
        <v>506</v>
      </c>
      <c r="I18" s="7" t="s">
        <v>507</v>
      </c>
      <c r="J18" s="7" t="s">
        <v>67</v>
      </c>
      <c r="K18" s="12" t="n">
        <v>44647</v>
      </c>
      <c r="L18" s="8"/>
      <c r="M18" s="8"/>
      <c r="N18" s="8"/>
    </row>
    <row r="19" customFormat="false" ht="45" hidden="false" customHeight="true" outlineLevel="0" collapsed="false">
      <c r="A19" s="8" t="n">
        <v>19</v>
      </c>
      <c r="B19" s="7" t="s">
        <v>508</v>
      </c>
      <c r="C19" s="7" t="s">
        <v>509</v>
      </c>
      <c r="D19" s="7" t="s">
        <v>510</v>
      </c>
      <c r="E19" s="8" t="s">
        <v>511</v>
      </c>
      <c r="F19" s="8" t="s">
        <v>431</v>
      </c>
      <c r="G19" s="7" t="s">
        <v>155</v>
      </c>
      <c r="H19" s="8" t="s">
        <v>512</v>
      </c>
      <c r="I19" s="8" t="s">
        <v>513</v>
      </c>
      <c r="J19" s="7" t="s">
        <v>56</v>
      </c>
      <c r="K19" s="12" t="n">
        <v>44628</v>
      </c>
      <c r="L19" s="8"/>
      <c r="M19" s="8"/>
      <c r="N19" s="8"/>
    </row>
    <row r="20" customFormat="false" ht="45" hidden="false" customHeight="true" outlineLevel="0" collapsed="false">
      <c r="A20" s="8" t="n">
        <v>20</v>
      </c>
      <c r="B20" s="7" t="s">
        <v>514</v>
      </c>
      <c r="C20" s="7" t="s">
        <v>515</v>
      </c>
      <c r="D20" s="7" t="s">
        <v>516</v>
      </c>
      <c r="E20" s="8" t="s">
        <v>517</v>
      </c>
      <c r="F20" s="8" t="s">
        <v>424</v>
      </c>
      <c r="G20" s="7" t="s">
        <v>64</v>
      </c>
      <c r="H20" s="7" t="s">
        <v>518</v>
      </c>
      <c r="I20" s="8" t="s">
        <v>519</v>
      </c>
      <c r="J20" s="7" t="s">
        <v>67</v>
      </c>
      <c r="K20" s="12" t="n">
        <v>44647</v>
      </c>
      <c r="L20" s="8"/>
      <c r="M20" s="8"/>
      <c r="N20" s="8"/>
    </row>
    <row r="21" customFormat="false" ht="45" hidden="false" customHeight="true" outlineLevel="0" collapsed="false">
      <c r="A21" s="8" t="n">
        <v>21</v>
      </c>
      <c r="B21" s="7" t="s">
        <v>520</v>
      </c>
      <c r="C21" s="7" t="s">
        <v>521</v>
      </c>
      <c r="D21" s="7" t="s">
        <v>522</v>
      </c>
      <c r="E21" s="8" t="s">
        <v>523</v>
      </c>
      <c r="F21" s="8" t="s">
        <v>424</v>
      </c>
      <c r="G21" s="7" t="s">
        <v>155</v>
      </c>
      <c r="H21" s="7" t="s">
        <v>524</v>
      </c>
      <c r="I21" s="8" t="s">
        <v>525</v>
      </c>
      <c r="J21" s="7" t="s">
        <v>56</v>
      </c>
      <c r="K21" s="12" t="n">
        <v>44670</v>
      </c>
      <c r="L21" s="8"/>
      <c r="M21" s="8"/>
      <c r="N21" s="8"/>
    </row>
    <row r="22" customFormat="false" ht="45" hidden="false" customHeight="true" outlineLevel="0" collapsed="false">
      <c r="A22" s="8" t="n">
        <v>22</v>
      </c>
      <c r="B22" s="7" t="s">
        <v>526</v>
      </c>
      <c r="C22" s="7" t="s">
        <v>527</v>
      </c>
      <c r="D22" s="7" t="s">
        <v>527</v>
      </c>
      <c r="E22" s="8" t="s">
        <v>528</v>
      </c>
      <c r="F22" s="8" t="s">
        <v>424</v>
      </c>
      <c r="G22" s="7" t="s">
        <v>155</v>
      </c>
      <c r="H22" s="7" t="s">
        <v>524</v>
      </c>
      <c r="I22" s="8" t="s">
        <v>529</v>
      </c>
      <c r="J22" s="7" t="s">
        <v>56</v>
      </c>
      <c r="K22" s="12" t="n">
        <v>44715</v>
      </c>
      <c r="L22" s="12" t="n">
        <v>44715</v>
      </c>
      <c r="M22" s="12" t="n">
        <v>44715</v>
      </c>
      <c r="N22" s="8"/>
    </row>
    <row r="23" customFormat="false" ht="45" hidden="false" customHeight="true" outlineLevel="0" collapsed="false">
      <c r="A23" s="8" t="n">
        <v>23</v>
      </c>
      <c r="B23" s="7" t="s">
        <v>530</v>
      </c>
      <c r="C23" s="7" t="s">
        <v>531</v>
      </c>
      <c r="D23" s="7" t="s">
        <v>531</v>
      </c>
      <c r="E23" s="8" t="s">
        <v>532</v>
      </c>
      <c r="F23" s="8" t="s">
        <v>424</v>
      </c>
      <c r="G23" s="7" t="s">
        <v>64</v>
      </c>
      <c r="H23" s="7" t="s">
        <v>533</v>
      </c>
      <c r="I23" s="8" t="s">
        <v>534</v>
      </c>
      <c r="J23" s="7" t="s">
        <v>67</v>
      </c>
      <c r="K23" s="12" t="n">
        <v>44715</v>
      </c>
      <c r="L23" s="12" t="n">
        <v>44715</v>
      </c>
      <c r="M23" s="12" t="n">
        <v>45019</v>
      </c>
      <c r="N23" s="8"/>
    </row>
    <row r="24" customFormat="false" ht="45" hidden="false" customHeight="true" outlineLevel="0" collapsed="false">
      <c r="A24" s="8" t="n">
        <v>24</v>
      </c>
      <c r="B24" s="7" t="s">
        <v>535</v>
      </c>
      <c r="C24" s="7" t="s">
        <v>536</v>
      </c>
      <c r="D24" s="7" t="s">
        <v>536</v>
      </c>
      <c r="E24" s="8" t="s">
        <v>537</v>
      </c>
      <c r="F24" s="8" t="s">
        <v>424</v>
      </c>
      <c r="G24" s="7" t="s">
        <v>64</v>
      </c>
      <c r="H24" s="7" t="s">
        <v>538</v>
      </c>
      <c r="I24" s="8" t="s">
        <v>539</v>
      </c>
      <c r="J24" s="7" t="s">
        <v>67</v>
      </c>
      <c r="K24" s="12" t="n">
        <v>44715</v>
      </c>
      <c r="L24" s="12" t="n">
        <v>44715</v>
      </c>
      <c r="M24" s="12" t="n">
        <v>45019</v>
      </c>
      <c r="N24" s="8"/>
    </row>
    <row r="25" customFormat="false" ht="45" hidden="false" customHeight="true" outlineLevel="0" collapsed="false">
      <c r="A25" s="8" t="n">
        <v>25</v>
      </c>
      <c r="B25" s="7" t="s">
        <v>540</v>
      </c>
      <c r="C25" s="7" t="s">
        <v>536</v>
      </c>
      <c r="D25" s="7" t="s">
        <v>536</v>
      </c>
      <c r="E25" s="8" t="s">
        <v>541</v>
      </c>
      <c r="F25" s="8" t="s">
        <v>424</v>
      </c>
      <c r="G25" s="7" t="s">
        <v>155</v>
      </c>
      <c r="H25" s="7" t="s">
        <v>542</v>
      </c>
      <c r="I25" s="8" t="s">
        <v>543</v>
      </c>
      <c r="J25" s="7" t="s">
        <v>56</v>
      </c>
      <c r="K25" s="12" t="n">
        <v>44715</v>
      </c>
      <c r="L25" s="12" t="n">
        <v>44722</v>
      </c>
      <c r="M25" s="12" t="n">
        <v>45019</v>
      </c>
      <c r="N25" s="8"/>
    </row>
    <row r="26" customFormat="false" ht="45" hidden="false" customHeight="true" outlineLevel="0" collapsed="false">
      <c r="A26" s="8" t="n">
        <v>26</v>
      </c>
      <c r="B26" s="7" t="s">
        <v>544</v>
      </c>
      <c r="C26" s="7" t="s">
        <v>545</v>
      </c>
      <c r="D26" s="7" t="s">
        <v>545</v>
      </c>
      <c r="E26" s="8" t="s">
        <v>546</v>
      </c>
      <c r="F26" s="8" t="s">
        <v>424</v>
      </c>
      <c r="G26" s="7" t="s">
        <v>64</v>
      </c>
      <c r="H26" s="7" t="s">
        <v>547</v>
      </c>
      <c r="I26" s="8" t="s">
        <v>548</v>
      </c>
      <c r="J26" s="7" t="s">
        <v>67</v>
      </c>
      <c r="K26" s="12" t="n">
        <v>44732</v>
      </c>
      <c r="L26" s="8"/>
      <c r="M26" s="8"/>
      <c r="N26" s="8"/>
    </row>
    <row r="27" customFormat="false" ht="45" hidden="false" customHeight="true" outlineLevel="0" collapsed="false">
      <c r="A27" s="8" t="n">
        <v>27</v>
      </c>
      <c r="B27" s="7" t="s">
        <v>549</v>
      </c>
      <c r="C27" s="7" t="s">
        <v>550</v>
      </c>
      <c r="D27" s="7" t="s">
        <v>551</v>
      </c>
      <c r="E27" s="7" t="s">
        <v>552</v>
      </c>
      <c r="F27" s="8" t="s">
        <v>431</v>
      </c>
      <c r="G27" s="7" t="s">
        <v>64</v>
      </c>
      <c r="H27" s="7" t="s">
        <v>553</v>
      </c>
      <c r="I27" s="7" t="s">
        <v>554</v>
      </c>
      <c r="J27" s="7" t="s">
        <v>67</v>
      </c>
      <c r="K27" s="12" t="n">
        <v>44874</v>
      </c>
      <c r="L27" s="8"/>
      <c r="M27" s="8"/>
      <c r="N27" s="8"/>
    </row>
    <row r="28" customFormat="false" ht="45" hidden="false" customHeight="true" outlineLevel="0" collapsed="false">
      <c r="A28" s="8" t="n">
        <v>28</v>
      </c>
      <c r="B28" s="7" t="s">
        <v>555</v>
      </c>
      <c r="C28" s="8"/>
      <c r="D28" s="7" t="s">
        <v>556</v>
      </c>
      <c r="E28" s="7" t="s">
        <v>557</v>
      </c>
      <c r="F28" s="8" t="s">
        <v>424</v>
      </c>
      <c r="G28" s="7" t="s">
        <v>155</v>
      </c>
      <c r="H28" s="7" t="s">
        <v>558</v>
      </c>
      <c r="I28" s="8" t="s">
        <v>559</v>
      </c>
      <c r="J28" s="7" t="s">
        <v>56</v>
      </c>
      <c r="K28" s="8"/>
      <c r="L28" s="8"/>
      <c r="M28" s="8"/>
      <c r="N28" s="8"/>
    </row>
    <row r="29" customFormat="false" ht="45" hidden="false" customHeight="true" outlineLevel="0" collapsed="false">
      <c r="A29" s="8" t="n">
        <v>29</v>
      </c>
      <c r="B29" s="7" t="s">
        <v>560</v>
      </c>
      <c r="C29" s="7" t="s">
        <v>561</v>
      </c>
      <c r="D29" s="7" t="s">
        <v>562</v>
      </c>
      <c r="E29" s="8" t="s">
        <v>563</v>
      </c>
      <c r="F29" s="8" t="s">
        <v>424</v>
      </c>
      <c r="G29" s="7" t="s">
        <v>51</v>
      </c>
      <c r="H29" s="7" t="s">
        <v>141</v>
      </c>
      <c r="I29" s="7" t="s">
        <v>564</v>
      </c>
      <c r="J29" s="7" t="s">
        <v>56</v>
      </c>
      <c r="K29" s="8"/>
      <c r="L29" s="8"/>
      <c r="M29" s="8"/>
      <c r="N29" s="8"/>
    </row>
    <row r="30" customFormat="false" ht="45" hidden="false" customHeight="true" outlineLevel="0" collapsed="false">
      <c r="A30" s="8" t="n">
        <v>30</v>
      </c>
      <c r="B30" s="7" t="s">
        <v>565</v>
      </c>
      <c r="C30" s="7" t="s">
        <v>566</v>
      </c>
      <c r="D30" s="7" t="s">
        <v>567</v>
      </c>
      <c r="E30" s="8" t="s">
        <v>568</v>
      </c>
      <c r="F30" s="8" t="s">
        <v>431</v>
      </c>
      <c r="G30" s="7" t="s">
        <v>64</v>
      </c>
      <c r="H30" s="7" t="s">
        <v>569</v>
      </c>
      <c r="I30" s="8" t="s">
        <v>570</v>
      </c>
      <c r="J30" s="7" t="s">
        <v>67</v>
      </c>
      <c r="K30" s="12" t="n">
        <v>45266</v>
      </c>
      <c r="L30" s="8"/>
      <c r="M30" s="8"/>
      <c r="N30" s="8"/>
    </row>
    <row r="31" customFormat="false" ht="45" hidden="false" customHeight="true" outlineLevel="0" collapsed="false">
      <c r="A31" s="8" t="n">
        <v>31</v>
      </c>
      <c r="B31" s="7" t="s">
        <v>571</v>
      </c>
      <c r="C31" s="7" t="s">
        <v>572</v>
      </c>
      <c r="D31" s="7" t="s">
        <v>572</v>
      </c>
      <c r="E31" s="8" t="s">
        <v>573</v>
      </c>
      <c r="F31" s="8" t="s">
        <v>431</v>
      </c>
      <c r="G31" s="7" t="s">
        <v>64</v>
      </c>
      <c r="H31" s="7" t="s">
        <v>574</v>
      </c>
      <c r="I31" s="8" t="s">
        <v>575</v>
      </c>
      <c r="J31" s="7" t="s">
        <v>67</v>
      </c>
      <c r="K31" s="12" t="n">
        <v>45266</v>
      </c>
      <c r="L31" s="8"/>
      <c r="M31" s="12" t="n">
        <v>45019</v>
      </c>
      <c r="N31" s="8"/>
    </row>
    <row r="32" customFormat="false" ht="45" hidden="false" customHeight="true" outlineLevel="0" collapsed="false">
      <c r="A32" s="8" t="n">
        <v>32</v>
      </c>
      <c r="B32" s="7" t="s">
        <v>576</v>
      </c>
      <c r="C32" s="7" t="s">
        <v>577</v>
      </c>
      <c r="D32" s="7" t="s">
        <v>577</v>
      </c>
      <c r="E32" s="8" t="s">
        <v>578</v>
      </c>
      <c r="F32" s="8" t="s">
        <v>431</v>
      </c>
      <c r="G32" s="7" t="s">
        <v>155</v>
      </c>
      <c r="H32" s="7" t="s">
        <v>579</v>
      </c>
      <c r="I32" s="8" t="s">
        <v>580</v>
      </c>
      <c r="J32" s="7" t="s">
        <v>56</v>
      </c>
      <c r="K32" s="12" t="n">
        <v>45280</v>
      </c>
      <c r="L32" s="8"/>
      <c r="M32" s="12" t="n">
        <v>45019</v>
      </c>
      <c r="N32" s="8"/>
    </row>
    <row r="33" customFormat="false" ht="45" hidden="false" customHeight="true" outlineLevel="0" collapsed="false">
      <c r="A33" s="8" t="n">
        <v>33</v>
      </c>
      <c r="B33" s="7" t="s">
        <v>581</v>
      </c>
      <c r="C33" s="7" t="s">
        <v>582</v>
      </c>
      <c r="D33" s="7" t="s">
        <v>582</v>
      </c>
      <c r="E33" s="7" t="s">
        <v>583</v>
      </c>
      <c r="F33" s="8" t="s">
        <v>431</v>
      </c>
      <c r="G33" s="7" t="s">
        <v>155</v>
      </c>
      <c r="H33" s="8" t="s">
        <v>584</v>
      </c>
      <c r="I33" s="8" t="s">
        <v>585</v>
      </c>
      <c r="J33" s="7" t="s">
        <v>56</v>
      </c>
      <c r="K33" s="12" t="n">
        <v>44939</v>
      </c>
      <c r="L33" s="8"/>
      <c r="M33" s="8"/>
      <c r="N33" s="8"/>
    </row>
    <row r="34" customFormat="false" ht="45" hidden="false" customHeight="true" outlineLevel="0" collapsed="false">
      <c r="A34" s="8" t="n">
        <v>34</v>
      </c>
      <c r="B34" s="7" t="s">
        <v>586</v>
      </c>
      <c r="C34" s="7" t="s">
        <v>587</v>
      </c>
      <c r="D34" s="7" t="s">
        <v>588</v>
      </c>
      <c r="E34" s="8" t="s">
        <v>589</v>
      </c>
      <c r="F34" s="8" t="s">
        <v>424</v>
      </c>
      <c r="G34" s="7" t="s">
        <v>64</v>
      </c>
      <c r="H34" s="7" t="s">
        <v>590</v>
      </c>
      <c r="I34" s="8" t="s">
        <v>591</v>
      </c>
      <c r="J34" s="7" t="s">
        <v>67</v>
      </c>
      <c r="K34" s="12" t="n">
        <v>45009</v>
      </c>
      <c r="L34" s="12" t="n">
        <v>45046</v>
      </c>
      <c r="M34" s="12" t="n">
        <v>45046</v>
      </c>
      <c r="N34" s="8"/>
    </row>
    <row r="35" customFormat="false" ht="45" hidden="false" customHeight="true" outlineLevel="0" collapsed="false">
      <c r="A35" s="8" t="n">
        <v>35</v>
      </c>
      <c r="B35" s="7" t="s">
        <v>592</v>
      </c>
      <c r="C35" s="7" t="s">
        <v>587</v>
      </c>
      <c r="D35" s="7" t="s">
        <v>587</v>
      </c>
      <c r="E35" s="8" t="s">
        <v>593</v>
      </c>
      <c r="F35" s="8" t="s">
        <v>431</v>
      </c>
      <c r="G35" s="7" t="s">
        <v>155</v>
      </c>
      <c r="H35" s="7" t="s">
        <v>594</v>
      </c>
      <c r="I35" s="8" t="s">
        <v>595</v>
      </c>
      <c r="J35" s="7" t="s">
        <v>56</v>
      </c>
      <c r="K35" s="12" t="n">
        <v>45008</v>
      </c>
      <c r="L35" s="12" t="n">
        <v>45046</v>
      </c>
      <c r="M35" s="8"/>
      <c r="N35" s="8"/>
    </row>
    <row r="36" customFormat="false" ht="45" hidden="false" customHeight="true" outlineLevel="0" collapsed="false">
      <c r="A36" s="8" t="n">
        <v>36</v>
      </c>
      <c r="B36" s="7" t="s">
        <v>596</v>
      </c>
      <c r="C36" s="7" t="s">
        <v>597</v>
      </c>
      <c r="D36" s="7" t="s">
        <v>597</v>
      </c>
      <c r="E36" s="8" t="s">
        <v>593</v>
      </c>
      <c r="F36" s="8" t="s">
        <v>431</v>
      </c>
      <c r="G36" s="7" t="s">
        <v>155</v>
      </c>
      <c r="H36" s="7" t="s">
        <v>594</v>
      </c>
      <c r="I36" s="8" t="s">
        <v>595</v>
      </c>
      <c r="J36" s="7" t="s">
        <v>56</v>
      </c>
      <c r="K36" s="12" t="n">
        <v>45008</v>
      </c>
      <c r="L36" s="12" t="n">
        <v>45046</v>
      </c>
      <c r="M36" s="8"/>
      <c r="N36" s="8"/>
    </row>
    <row r="37" customFormat="false" ht="45" hidden="false" customHeight="true" outlineLevel="0" collapsed="false">
      <c r="A37" s="8" t="n">
        <v>37</v>
      </c>
      <c r="B37" s="7" t="s">
        <v>598</v>
      </c>
      <c r="C37" s="7" t="s">
        <v>599</v>
      </c>
      <c r="D37" s="7" t="s">
        <v>599</v>
      </c>
      <c r="E37" s="8" t="s">
        <v>600</v>
      </c>
      <c r="F37" s="8" t="s">
        <v>424</v>
      </c>
      <c r="G37" s="7" t="s">
        <v>64</v>
      </c>
      <c r="H37" s="8"/>
      <c r="I37" s="7" t="s">
        <v>601</v>
      </c>
      <c r="J37" s="7" t="s">
        <v>67</v>
      </c>
      <c r="K37" s="12" t="n">
        <v>45068</v>
      </c>
      <c r="L37" s="12" t="n">
        <v>45030</v>
      </c>
      <c r="M37" s="8"/>
      <c r="N37" s="8"/>
    </row>
    <row r="38" customFormat="false" ht="45" hidden="false" customHeight="true" outlineLevel="0" collapsed="false">
      <c r="A38" s="8" t="n">
        <v>38</v>
      </c>
      <c r="B38" s="7" t="s">
        <v>602</v>
      </c>
      <c r="C38" s="7" t="s">
        <v>603</v>
      </c>
      <c r="D38" s="7" t="s">
        <v>603</v>
      </c>
      <c r="E38" s="8" t="s">
        <v>604</v>
      </c>
      <c r="F38" s="8" t="s">
        <v>424</v>
      </c>
      <c r="G38" s="7" t="s">
        <v>64</v>
      </c>
      <c r="H38" s="8" t="s">
        <v>605</v>
      </c>
      <c r="I38" s="8" t="s">
        <v>606</v>
      </c>
      <c r="J38" s="7" t="s">
        <v>67</v>
      </c>
      <c r="K38" s="12" t="n">
        <v>45085</v>
      </c>
      <c r="L38" s="12" t="n">
        <v>45090</v>
      </c>
      <c r="M38" s="8"/>
      <c r="N38" s="8"/>
    </row>
    <row r="39" customFormat="false" ht="45" hidden="false" customHeight="true" outlineLevel="0" collapsed="false">
      <c r="A39" s="8" t="n">
        <v>39</v>
      </c>
      <c r="B39" s="7" t="s">
        <v>607</v>
      </c>
      <c r="C39" s="7" t="s">
        <v>608</v>
      </c>
      <c r="D39" s="7" t="s">
        <v>609</v>
      </c>
      <c r="E39" s="8" t="s">
        <v>610</v>
      </c>
      <c r="F39" s="8" t="s">
        <v>424</v>
      </c>
      <c r="G39" s="7" t="s">
        <v>64</v>
      </c>
      <c r="H39" s="7" t="s">
        <v>611</v>
      </c>
      <c r="I39" s="8" t="s">
        <v>612</v>
      </c>
      <c r="J39" s="7" t="s">
        <v>67</v>
      </c>
      <c r="K39" s="12" t="n">
        <v>45100</v>
      </c>
      <c r="L39" s="12" t="n">
        <v>45184</v>
      </c>
      <c r="M39" s="8"/>
      <c r="N39" s="8"/>
    </row>
    <row r="40" customFormat="false" ht="45" hidden="false" customHeight="true" outlineLevel="0" collapsed="false">
      <c r="A40" s="8" t="n">
        <v>40</v>
      </c>
      <c r="B40" s="7" t="s">
        <v>613</v>
      </c>
      <c r="C40" s="7" t="s">
        <v>609</v>
      </c>
      <c r="D40" s="7" t="s">
        <v>614</v>
      </c>
      <c r="E40" s="8" t="s">
        <v>610</v>
      </c>
      <c r="F40" s="8" t="s">
        <v>424</v>
      </c>
      <c r="G40" s="7" t="s">
        <v>64</v>
      </c>
      <c r="H40" s="7" t="s">
        <v>615</v>
      </c>
      <c r="I40" s="8" t="s">
        <v>612</v>
      </c>
      <c r="J40" s="7" t="s">
        <v>67</v>
      </c>
      <c r="K40" s="12" t="n">
        <v>45100</v>
      </c>
      <c r="L40" s="12" t="n">
        <v>45184</v>
      </c>
      <c r="M40" s="8"/>
      <c r="N40" s="8"/>
    </row>
    <row r="41" customFormat="false" ht="45" hidden="false" customHeight="true" outlineLevel="0" collapsed="false">
      <c r="A41" s="8" t="n">
        <v>41</v>
      </c>
      <c r="B41" s="7" t="s">
        <v>616</v>
      </c>
      <c r="C41" s="7" t="s">
        <v>617</v>
      </c>
      <c r="D41" s="7" t="s">
        <v>617</v>
      </c>
      <c r="E41" s="8" t="s">
        <v>618</v>
      </c>
      <c r="F41" s="8" t="s">
        <v>424</v>
      </c>
      <c r="G41" s="7" t="s">
        <v>64</v>
      </c>
      <c r="H41" s="7" t="s">
        <v>619</v>
      </c>
      <c r="I41" s="7" t="s">
        <v>620</v>
      </c>
      <c r="J41" s="7" t="s">
        <v>67</v>
      </c>
      <c r="K41" s="12" t="n">
        <v>45112</v>
      </c>
      <c r="L41" s="12" t="n">
        <v>45112</v>
      </c>
      <c r="M41" s="12" t="n">
        <v>45112</v>
      </c>
      <c r="N41" s="8"/>
    </row>
    <row r="42" customFormat="false" ht="45" hidden="false" customHeight="true" outlineLevel="0" collapsed="false">
      <c r="A42" s="8" t="n">
        <v>42</v>
      </c>
      <c r="B42" s="7" t="s">
        <v>621</v>
      </c>
      <c r="C42" s="7" t="s">
        <v>622</v>
      </c>
      <c r="D42" s="7" t="s">
        <v>622</v>
      </c>
      <c r="E42" s="8" t="s">
        <v>623</v>
      </c>
      <c r="F42" s="8" t="s">
        <v>431</v>
      </c>
      <c r="G42" s="7" t="s">
        <v>64</v>
      </c>
      <c r="H42" s="7" t="s">
        <v>624</v>
      </c>
      <c r="I42" s="8" t="s">
        <v>625</v>
      </c>
      <c r="J42" s="7" t="s">
        <v>67</v>
      </c>
      <c r="K42" s="12" t="n">
        <v>45555</v>
      </c>
      <c r="L42" s="8"/>
      <c r="M42" s="8"/>
      <c r="N42" s="8"/>
    </row>
    <row r="43" customFormat="false" ht="45" hidden="false" customHeight="true" outlineLevel="0" collapsed="false">
      <c r="A43" s="8" t="n">
        <v>43</v>
      </c>
      <c r="B43" s="7" t="s">
        <v>626</v>
      </c>
      <c r="C43" s="7" t="s">
        <v>627</v>
      </c>
      <c r="D43" s="7" t="s">
        <v>628</v>
      </c>
      <c r="E43" s="8" t="s">
        <v>629</v>
      </c>
      <c r="F43" s="8" t="s">
        <v>431</v>
      </c>
      <c r="G43" s="7" t="s">
        <v>64</v>
      </c>
      <c r="H43" s="8" t="s">
        <v>630</v>
      </c>
      <c r="I43" s="8" t="s">
        <v>631</v>
      </c>
      <c r="J43" s="7" t="s">
        <v>67</v>
      </c>
      <c r="K43" s="12" t="n">
        <v>45203</v>
      </c>
      <c r="L43" s="12" t="n">
        <v>45203</v>
      </c>
      <c r="M43" s="12" t="n">
        <v>45203</v>
      </c>
      <c r="N43" s="8"/>
    </row>
    <row r="44" customFormat="false" ht="45" hidden="false" customHeight="true" outlineLevel="0" collapsed="false">
      <c r="A44" s="8" t="n">
        <v>44</v>
      </c>
      <c r="B44" s="7" t="s">
        <v>632</v>
      </c>
      <c r="C44" s="7" t="s">
        <v>633</v>
      </c>
      <c r="D44" s="7" t="s">
        <v>634</v>
      </c>
      <c r="E44" s="8" t="s">
        <v>635</v>
      </c>
      <c r="F44" s="8" t="s">
        <v>50</v>
      </c>
      <c r="G44" s="7" t="s">
        <v>64</v>
      </c>
      <c r="H44" s="7" t="s">
        <v>266</v>
      </c>
      <c r="I44" s="8" t="s">
        <v>636</v>
      </c>
      <c r="J44" s="7" t="s">
        <v>67</v>
      </c>
      <c r="K44" s="12" t="n">
        <v>45226</v>
      </c>
      <c r="L44" s="12" t="n">
        <v>45226</v>
      </c>
      <c r="M44" s="12" t="n">
        <v>45226</v>
      </c>
      <c r="N44" s="8"/>
    </row>
    <row r="45" customFormat="false" ht="45" hidden="false" customHeight="true" outlineLevel="0" collapsed="false">
      <c r="A45" s="8" t="n">
        <v>45</v>
      </c>
      <c r="B45" s="7" t="s">
        <v>637</v>
      </c>
      <c r="C45" s="7" t="s">
        <v>638</v>
      </c>
      <c r="D45" s="7" t="s">
        <v>638</v>
      </c>
      <c r="E45" s="8" t="s">
        <v>639</v>
      </c>
      <c r="F45" s="8" t="s">
        <v>50</v>
      </c>
      <c r="G45" s="7" t="s">
        <v>51</v>
      </c>
      <c r="H45" s="8" t="s">
        <v>640</v>
      </c>
      <c r="I45" s="8" t="s">
        <v>641</v>
      </c>
      <c r="J45" s="7" t="s">
        <v>56</v>
      </c>
      <c r="K45" s="8"/>
      <c r="L45" s="8"/>
      <c r="M45" s="8"/>
      <c r="N45" s="8"/>
    </row>
    <row r="46" customFormat="false" ht="45" hidden="false" customHeight="true" outlineLevel="0" collapsed="false">
      <c r="A46" s="8" t="n">
        <v>46</v>
      </c>
      <c r="B46" s="7" t="s">
        <v>642</v>
      </c>
      <c r="C46" s="7" t="s">
        <v>643</v>
      </c>
      <c r="D46" s="7" t="s">
        <v>643</v>
      </c>
      <c r="E46" s="8" t="s">
        <v>644</v>
      </c>
      <c r="F46" s="8" t="s">
        <v>50</v>
      </c>
      <c r="G46" s="7" t="s">
        <v>64</v>
      </c>
      <c r="H46" s="7" t="s">
        <v>645</v>
      </c>
      <c r="I46" s="7" t="s">
        <v>646</v>
      </c>
      <c r="J46" s="7" t="s">
        <v>67</v>
      </c>
      <c r="K46" s="12" t="n">
        <v>45235</v>
      </c>
      <c r="L46" s="8"/>
      <c r="M46" s="8"/>
      <c r="N46" s="8"/>
    </row>
    <row r="47" customFormat="false" ht="45" hidden="false" customHeight="true" outlineLevel="0" collapsed="false">
      <c r="A47" s="8" t="n">
        <v>47</v>
      </c>
      <c r="B47" s="7" t="s">
        <v>647</v>
      </c>
      <c r="C47" s="7" t="s">
        <v>648</v>
      </c>
      <c r="D47" s="7" t="s">
        <v>648</v>
      </c>
      <c r="E47" s="8" t="s">
        <v>649</v>
      </c>
      <c r="F47" s="8" t="s">
        <v>63</v>
      </c>
      <c r="G47" s="7" t="s">
        <v>64</v>
      </c>
      <c r="H47" s="8" t="s">
        <v>451</v>
      </c>
      <c r="I47" s="8" t="s">
        <v>650</v>
      </c>
      <c r="J47" s="7" t="s">
        <v>67</v>
      </c>
      <c r="K47" s="12" t="n">
        <v>45250</v>
      </c>
      <c r="L47" s="8"/>
      <c r="M47" s="8"/>
      <c r="N47" s="8"/>
    </row>
    <row r="48" customFormat="false" ht="45" hidden="false" customHeight="true" outlineLevel="0" collapsed="false">
      <c r="A48" s="8" t="n">
        <v>48</v>
      </c>
      <c r="B48" s="7" t="s">
        <v>651</v>
      </c>
      <c r="C48" s="7" t="s">
        <v>648</v>
      </c>
      <c r="D48" s="7" t="s">
        <v>648</v>
      </c>
      <c r="E48" s="8" t="s">
        <v>652</v>
      </c>
      <c r="F48" s="8" t="s">
        <v>50</v>
      </c>
      <c r="G48" s="7" t="s">
        <v>155</v>
      </c>
      <c r="H48" s="7" t="s">
        <v>653</v>
      </c>
      <c r="I48" s="8" t="s">
        <v>654</v>
      </c>
      <c r="J48" s="7" t="s">
        <v>56</v>
      </c>
      <c r="K48" s="12" t="n">
        <v>45266</v>
      </c>
      <c r="L48" s="8"/>
      <c r="M48" s="8"/>
      <c r="N48" s="8"/>
    </row>
    <row r="49" customFormat="false" ht="45" hidden="false" customHeight="true" outlineLevel="0" collapsed="false">
      <c r="A49" s="8" t="n">
        <v>49</v>
      </c>
      <c r="B49" s="7" t="s">
        <v>655</v>
      </c>
      <c r="C49" s="7" t="s">
        <v>656</v>
      </c>
      <c r="D49" s="7" t="s">
        <v>656</v>
      </c>
      <c r="E49" s="8" t="s">
        <v>657</v>
      </c>
      <c r="F49" s="8" t="s">
        <v>63</v>
      </c>
      <c r="G49" s="7" t="s">
        <v>64</v>
      </c>
      <c r="H49" s="7" t="s">
        <v>658</v>
      </c>
      <c r="I49" s="8" t="s">
        <v>659</v>
      </c>
      <c r="J49" s="7" t="s">
        <v>67</v>
      </c>
      <c r="K49" s="12" t="n">
        <v>45272</v>
      </c>
      <c r="L49" s="12" t="n">
        <v>45272</v>
      </c>
      <c r="M49" s="12" t="n">
        <v>45272</v>
      </c>
      <c r="N49" s="8"/>
    </row>
    <row r="50" customFormat="false" ht="45" hidden="false" customHeight="true" outlineLevel="0" collapsed="false">
      <c r="A50" s="8" t="n">
        <v>50</v>
      </c>
      <c r="B50" s="7" t="s">
        <v>660</v>
      </c>
      <c r="C50" s="7" t="s">
        <v>661</v>
      </c>
      <c r="D50" s="7" t="s">
        <v>662</v>
      </c>
      <c r="E50" s="7" t="s">
        <v>663</v>
      </c>
      <c r="F50" s="8" t="s">
        <v>93</v>
      </c>
      <c r="G50" s="7" t="s">
        <v>64</v>
      </c>
      <c r="H50" s="7" t="s">
        <v>664</v>
      </c>
      <c r="I50" s="8" t="s">
        <v>665</v>
      </c>
      <c r="J50" s="7" t="s">
        <v>67</v>
      </c>
      <c r="K50" s="12" t="n">
        <v>45274</v>
      </c>
      <c r="L50" s="12" t="n">
        <v>45274</v>
      </c>
      <c r="M50" s="12" t="n">
        <v>45274</v>
      </c>
      <c r="N50" s="8"/>
    </row>
    <row r="51" customFormat="false" ht="45" hidden="false" customHeight="true" outlineLevel="0" collapsed="false">
      <c r="A51" s="8" t="n">
        <v>51</v>
      </c>
      <c r="B51" s="7" t="s">
        <v>666</v>
      </c>
      <c r="C51" s="7" t="s">
        <v>667</v>
      </c>
      <c r="D51" s="7" t="s">
        <v>667</v>
      </c>
      <c r="E51" s="8" t="s">
        <v>668</v>
      </c>
      <c r="F51" s="8" t="s">
        <v>269</v>
      </c>
      <c r="G51" s="7" t="s">
        <v>155</v>
      </c>
      <c r="H51" s="7" t="s">
        <v>669</v>
      </c>
      <c r="I51" s="8" t="s">
        <v>670</v>
      </c>
      <c r="J51" s="7" t="s">
        <v>56</v>
      </c>
      <c r="K51" s="8"/>
      <c r="L51" s="8"/>
      <c r="M51" s="8"/>
      <c r="N51" s="8"/>
    </row>
    <row r="52" customFormat="false" ht="45" hidden="false" customHeight="true" outlineLevel="0" collapsed="false">
      <c r="A52" s="8" t="n">
        <v>52</v>
      </c>
      <c r="B52" s="7" t="s">
        <v>45</v>
      </c>
      <c r="C52" s="7" t="s">
        <v>47</v>
      </c>
      <c r="D52" s="7" t="s">
        <v>48</v>
      </c>
      <c r="E52" s="7" t="s">
        <v>49</v>
      </c>
      <c r="F52" s="8" t="s">
        <v>50</v>
      </c>
      <c r="G52" s="7" t="s">
        <v>51</v>
      </c>
      <c r="H52" s="7" t="s">
        <v>52</v>
      </c>
      <c r="I52" s="8" t="s">
        <v>54</v>
      </c>
      <c r="J52" s="7" t="s">
        <v>56</v>
      </c>
      <c r="K52" s="8"/>
      <c r="L52" s="8"/>
      <c r="M52" s="8"/>
      <c r="N52" s="8"/>
    </row>
    <row r="53" customFormat="false" ht="45" hidden="false" customHeight="true" outlineLevel="0" collapsed="false">
      <c r="A53" s="8" t="n">
        <v>53</v>
      </c>
      <c r="B53" s="7" t="s">
        <v>59</v>
      </c>
      <c r="C53" s="7" t="s">
        <v>60</v>
      </c>
      <c r="D53" s="7" t="s">
        <v>61</v>
      </c>
      <c r="E53" s="8" t="s">
        <v>62</v>
      </c>
      <c r="F53" s="8" t="s">
        <v>63</v>
      </c>
      <c r="G53" s="7" t="s">
        <v>64</v>
      </c>
      <c r="H53" s="7" t="s">
        <v>65</v>
      </c>
      <c r="I53" s="8" t="s">
        <v>671</v>
      </c>
      <c r="J53" s="7" t="s">
        <v>67</v>
      </c>
      <c r="K53" s="12" t="n">
        <v>45338</v>
      </c>
      <c r="L53" s="12" t="n">
        <v>45338</v>
      </c>
      <c r="M53" s="12" t="n">
        <v>45338</v>
      </c>
      <c r="N53" s="8"/>
    </row>
    <row r="54" customFormat="false" ht="45" hidden="false" customHeight="true" outlineLevel="0" collapsed="false">
      <c r="A54" s="8" t="n">
        <v>54</v>
      </c>
      <c r="B54" s="7" t="s">
        <v>71</v>
      </c>
      <c r="C54" s="7" t="s">
        <v>72</v>
      </c>
      <c r="D54" s="7" t="s">
        <v>73</v>
      </c>
      <c r="E54" s="8" t="s">
        <v>74</v>
      </c>
      <c r="F54" s="8" t="s">
        <v>63</v>
      </c>
      <c r="G54" s="7" t="s">
        <v>64</v>
      </c>
      <c r="H54" s="8" t="s">
        <v>74</v>
      </c>
      <c r="I54" s="8" t="s">
        <v>75</v>
      </c>
      <c r="J54" s="7" t="s">
        <v>67</v>
      </c>
      <c r="K54" s="12" t="n">
        <v>45357</v>
      </c>
      <c r="L54" s="12" t="n">
        <v>45357</v>
      </c>
      <c r="M54" s="8"/>
      <c r="N54" s="8"/>
    </row>
    <row r="55" customFormat="false" ht="45" hidden="false" customHeight="true" outlineLevel="0" collapsed="false">
      <c r="A55" s="8" t="n">
        <v>55</v>
      </c>
      <c r="B55" s="7" t="s">
        <v>80</v>
      </c>
      <c r="C55" s="7" t="s">
        <v>81</v>
      </c>
      <c r="D55" s="7" t="s">
        <v>82</v>
      </c>
      <c r="E55" s="7" t="s">
        <v>83</v>
      </c>
      <c r="F55" s="8" t="s">
        <v>63</v>
      </c>
      <c r="G55" s="7" t="s">
        <v>64</v>
      </c>
      <c r="H55" s="8"/>
      <c r="I55" s="7" t="s">
        <v>84</v>
      </c>
      <c r="J55" s="7" t="s">
        <v>67</v>
      </c>
      <c r="K55" s="12" t="n">
        <v>45385</v>
      </c>
      <c r="L55" s="12" t="n">
        <v>45473</v>
      </c>
      <c r="M55" s="8"/>
      <c r="N55" s="8"/>
    </row>
    <row r="56" customFormat="false" ht="45" hidden="false" customHeight="true" outlineLevel="0" collapsed="false">
      <c r="A56" s="8" t="n">
        <v>56</v>
      </c>
      <c r="B56" s="7" t="s">
        <v>89</v>
      </c>
      <c r="C56" s="7" t="s">
        <v>90</v>
      </c>
      <c r="D56" s="7" t="s">
        <v>91</v>
      </c>
      <c r="E56" s="8" t="s">
        <v>92</v>
      </c>
      <c r="F56" s="8" t="s">
        <v>93</v>
      </c>
      <c r="G56" s="8" t="s">
        <v>94</v>
      </c>
      <c r="H56" s="7" t="s">
        <v>95</v>
      </c>
      <c r="I56" s="7" t="s">
        <v>96</v>
      </c>
      <c r="J56" s="8"/>
      <c r="K56" s="8"/>
      <c r="L56" s="8"/>
      <c r="M56" s="8"/>
      <c r="N56" s="8"/>
    </row>
    <row r="57" customFormat="false" ht="45" hidden="false" customHeight="true" outlineLevel="0" collapsed="false">
      <c r="A57" s="8" t="n">
        <v>57</v>
      </c>
      <c r="B57" s="7" t="s">
        <v>98</v>
      </c>
      <c r="C57" s="7" t="s">
        <v>99</v>
      </c>
      <c r="D57" s="7" t="s">
        <v>100</v>
      </c>
      <c r="E57" s="8" t="s">
        <v>101</v>
      </c>
      <c r="F57" s="8" t="s">
        <v>50</v>
      </c>
      <c r="G57" s="7" t="s">
        <v>51</v>
      </c>
      <c r="H57" s="7" t="s">
        <v>102</v>
      </c>
      <c r="I57" s="8" t="s">
        <v>104</v>
      </c>
      <c r="J57" s="7" t="s">
        <v>56</v>
      </c>
      <c r="K57" s="8"/>
      <c r="L57" s="8"/>
      <c r="M57" s="8"/>
      <c r="N57" s="8"/>
    </row>
    <row r="58" customFormat="false" ht="45" hidden="false" customHeight="true" outlineLevel="0" collapsed="false">
      <c r="A58" s="8" t="n">
        <v>58</v>
      </c>
      <c r="B58" s="7" t="s">
        <v>105</v>
      </c>
      <c r="C58" s="7" t="s">
        <v>106</v>
      </c>
      <c r="D58" s="7" t="s">
        <v>107</v>
      </c>
      <c r="E58" s="8" t="s">
        <v>108</v>
      </c>
      <c r="F58" s="8" t="s">
        <v>93</v>
      </c>
      <c r="G58" s="7" t="s">
        <v>51</v>
      </c>
      <c r="H58" s="7" t="s">
        <v>102</v>
      </c>
      <c r="I58" s="8" t="s">
        <v>110</v>
      </c>
      <c r="J58" s="8"/>
      <c r="K58" s="8"/>
      <c r="L58" s="8"/>
      <c r="M58" s="8"/>
      <c r="N58" s="8"/>
    </row>
    <row r="59" customFormat="false" ht="45" hidden="false" customHeight="true" outlineLevel="0" collapsed="false">
      <c r="A59" s="8" t="n">
        <v>59</v>
      </c>
      <c r="B59" s="7" t="s">
        <v>111</v>
      </c>
      <c r="C59" s="7" t="s">
        <v>112</v>
      </c>
      <c r="D59" s="7" t="s">
        <v>112</v>
      </c>
      <c r="E59" s="8" t="s">
        <v>113</v>
      </c>
      <c r="F59" s="8" t="s">
        <v>50</v>
      </c>
      <c r="G59" s="7" t="s">
        <v>64</v>
      </c>
      <c r="H59" s="7" t="s">
        <v>114</v>
      </c>
      <c r="I59" s="7" t="s">
        <v>672</v>
      </c>
      <c r="J59" s="7" t="s">
        <v>67</v>
      </c>
      <c r="K59" s="12" t="n">
        <v>45525</v>
      </c>
      <c r="L59" s="12" t="n">
        <v>45535</v>
      </c>
      <c r="M59" s="8"/>
      <c r="N59" s="8"/>
    </row>
    <row r="60" customFormat="false" ht="45" hidden="false" customHeight="true" outlineLevel="0" collapsed="false">
      <c r="A60" s="8" t="n">
        <v>60</v>
      </c>
      <c r="B60" s="7" t="s">
        <v>117</v>
      </c>
      <c r="C60" s="7" t="s">
        <v>118</v>
      </c>
      <c r="D60" s="7" t="s">
        <v>119</v>
      </c>
      <c r="E60" s="8" t="s">
        <v>120</v>
      </c>
      <c r="F60" s="8" t="s">
        <v>50</v>
      </c>
      <c r="G60" s="7" t="s">
        <v>51</v>
      </c>
      <c r="H60" s="7" t="s">
        <v>121</v>
      </c>
      <c r="I60" s="8"/>
      <c r="J60" s="7" t="s">
        <v>56</v>
      </c>
      <c r="K60" s="8"/>
      <c r="L60" s="8"/>
      <c r="M60" s="8"/>
      <c r="N60" s="8"/>
    </row>
    <row r="61" customFormat="false" ht="45" hidden="false" customHeight="true" outlineLevel="0" collapsed="false">
      <c r="A61" s="8" t="n">
        <v>61</v>
      </c>
      <c r="B61" s="7" t="s">
        <v>123</v>
      </c>
      <c r="C61" s="7" t="s">
        <v>124</v>
      </c>
      <c r="D61" s="7" t="s">
        <v>124</v>
      </c>
      <c r="E61" s="7" t="s">
        <v>125</v>
      </c>
      <c r="F61" s="8" t="s">
        <v>50</v>
      </c>
      <c r="G61" s="7" t="s">
        <v>64</v>
      </c>
      <c r="H61" s="7" t="s">
        <v>126</v>
      </c>
      <c r="I61" s="8" t="s">
        <v>127</v>
      </c>
      <c r="J61" s="7" t="s">
        <v>128</v>
      </c>
      <c r="K61" s="8"/>
      <c r="L61" s="8"/>
      <c r="M61" s="8"/>
      <c r="N61" s="8"/>
    </row>
    <row r="62" customFormat="false" ht="45" hidden="false" customHeight="true" outlineLevel="0" collapsed="false">
      <c r="A62" s="8" t="n">
        <v>62</v>
      </c>
      <c r="B62" s="7" t="s">
        <v>132</v>
      </c>
      <c r="C62" s="7" t="s">
        <v>133</v>
      </c>
      <c r="D62" s="7" t="s">
        <v>133</v>
      </c>
      <c r="E62" s="8" t="s">
        <v>134</v>
      </c>
      <c r="F62" s="8" t="s">
        <v>50</v>
      </c>
      <c r="G62" s="7" t="s">
        <v>64</v>
      </c>
      <c r="H62" s="7" t="s">
        <v>135</v>
      </c>
      <c r="I62" s="8" t="s">
        <v>136</v>
      </c>
      <c r="J62" s="7" t="s">
        <v>128</v>
      </c>
      <c r="K62" s="8"/>
      <c r="L62" s="8"/>
      <c r="M62" s="8"/>
      <c r="N62" s="8"/>
    </row>
    <row r="63" customFormat="false" ht="45" hidden="false" customHeight="true" outlineLevel="0" collapsed="false">
      <c r="A63" s="8" t="n">
        <v>63</v>
      </c>
      <c r="B63" s="7" t="s">
        <v>138</v>
      </c>
      <c r="C63" s="7" t="s">
        <v>139</v>
      </c>
      <c r="D63" s="7" t="s">
        <v>139</v>
      </c>
      <c r="E63" s="8" t="s">
        <v>140</v>
      </c>
      <c r="F63" s="8" t="s">
        <v>50</v>
      </c>
      <c r="G63" s="7" t="s">
        <v>64</v>
      </c>
      <c r="H63" s="7" t="s">
        <v>141</v>
      </c>
      <c r="I63" s="8" t="s">
        <v>142</v>
      </c>
      <c r="J63" s="7" t="s">
        <v>128</v>
      </c>
      <c r="K63" s="8"/>
      <c r="L63" s="8"/>
      <c r="M63" s="8"/>
      <c r="N63" s="8"/>
    </row>
    <row r="64" customFormat="false" ht="45" hidden="false" customHeight="true" outlineLevel="0" collapsed="false">
      <c r="A64" s="8" t="n">
        <v>64</v>
      </c>
      <c r="B64" s="7" t="s">
        <v>145</v>
      </c>
      <c r="C64" s="7" t="s">
        <v>146</v>
      </c>
      <c r="D64" s="7" t="s">
        <v>146</v>
      </c>
      <c r="E64" s="8" t="s">
        <v>147</v>
      </c>
      <c r="F64" s="8" t="s">
        <v>63</v>
      </c>
      <c r="G64" s="7" t="s">
        <v>64</v>
      </c>
      <c r="H64" s="7" t="s">
        <v>148</v>
      </c>
      <c r="I64" s="8" t="s">
        <v>149</v>
      </c>
      <c r="J64" s="7" t="s">
        <v>128</v>
      </c>
      <c r="K64" s="8"/>
      <c r="L64" s="8"/>
      <c r="M64" s="8"/>
      <c r="N64" s="8"/>
    </row>
    <row r="65" customFormat="false" ht="45" hidden="false" customHeight="true" outlineLevel="0" collapsed="false">
      <c r="A65" s="8" t="n">
        <v>65</v>
      </c>
      <c r="B65" s="7" t="s">
        <v>151</v>
      </c>
      <c r="C65" s="7" t="s">
        <v>153</v>
      </c>
      <c r="D65" s="7" t="s">
        <v>153</v>
      </c>
      <c r="E65" s="7" t="s">
        <v>154</v>
      </c>
      <c r="F65" s="8" t="s">
        <v>50</v>
      </c>
      <c r="G65" s="7" t="s">
        <v>155</v>
      </c>
      <c r="H65" s="7" t="s">
        <v>156</v>
      </c>
      <c r="I65" s="8" t="s">
        <v>157</v>
      </c>
      <c r="J65" s="7" t="s">
        <v>56</v>
      </c>
      <c r="K65" s="8"/>
      <c r="L65" s="8"/>
      <c r="M65" s="8"/>
      <c r="N65" s="8"/>
    </row>
    <row r="66" customFormat="false" ht="45" hidden="false" customHeight="true" outlineLevel="0" collapsed="false">
      <c r="A66" s="8" t="n">
        <v>66</v>
      </c>
      <c r="B66" s="7" t="s">
        <v>159</v>
      </c>
      <c r="C66" s="7" t="s">
        <v>160</v>
      </c>
      <c r="D66" s="7" t="s">
        <v>161</v>
      </c>
      <c r="E66" s="8" t="s">
        <v>162</v>
      </c>
      <c r="F66" s="8" t="s">
        <v>50</v>
      </c>
      <c r="G66" s="7" t="s">
        <v>64</v>
      </c>
      <c r="H66" s="7" t="s">
        <v>163</v>
      </c>
      <c r="I66" s="8" t="s">
        <v>164</v>
      </c>
      <c r="J66" s="8"/>
      <c r="K66" s="8"/>
      <c r="L66" s="8"/>
      <c r="M66" s="8"/>
      <c r="N66" s="8"/>
    </row>
    <row r="67" customFormat="false" ht="45" hidden="false" customHeight="true" outlineLevel="0" collapsed="false">
      <c r="A67" s="8" t="n">
        <v>67</v>
      </c>
      <c r="B67" s="7" t="s">
        <v>167</v>
      </c>
      <c r="C67" s="7" t="s">
        <v>168</v>
      </c>
      <c r="D67" s="7" t="s">
        <v>168</v>
      </c>
      <c r="E67" s="8" t="s">
        <v>169</v>
      </c>
      <c r="F67" s="8" t="s">
        <v>50</v>
      </c>
      <c r="G67" s="7" t="s">
        <v>51</v>
      </c>
      <c r="H67" s="7" t="s">
        <v>102</v>
      </c>
      <c r="I67" s="8" t="s">
        <v>170</v>
      </c>
      <c r="J67" s="7" t="s">
        <v>56</v>
      </c>
      <c r="K67" s="8"/>
      <c r="L67" s="8"/>
      <c r="M67" s="8"/>
      <c r="N67" s="8"/>
    </row>
    <row r="68" customFormat="false" ht="45" hidden="false" customHeight="true" outlineLevel="0" collapsed="false">
      <c r="A68" s="8" t="n">
        <v>68</v>
      </c>
      <c r="B68" s="7" t="s">
        <v>172</v>
      </c>
      <c r="C68" s="7" t="s">
        <v>173</v>
      </c>
      <c r="D68" s="7" t="s">
        <v>174</v>
      </c>
      <c r="E68" s="8" t="s">
        <v>175</v>
      </c>
      <c r="F68" s="8" t="s">
        <v>50</v>
      </c>
      <c r="G68" s="7" t="s">
        <v>64</v>
      </c>
      <c r="H68" s="7" t="s">
        <v>673</v>
      </c>
      <c r="I68" s="8" t="s">
        <v>674</v>
      </c>
      <c r="J68" s="7" t="s">
        <v>128</v>
      </c>
      <c r="K68" s="8"/>
      <c r="L68" s="8"/>
      <c r="M68" s="8"/>
      <c r="N68" s="8"/>
    </row>
    <row r="69" customFormat="false" ht="45" hidden="false" customHeight="true" outlineLevel="0" collapsed="false">
      <c r="A69" s="8" t="n">
        <v>69</v>
      </c>
      <c r="B69" s="7" t="s">
        <v>179</v>
      </c>
      <c r="C69" s="7" t="s">
        <v>180</v>
      </c>
      <c r="D69" s="7" t="s">
        <v>181</v>
      </c>
      <c r="E69" s="8" t="s">
        <v>182</v>
      </c>
      <c r="F69" s="8" t="s">
        <v>50</v>
      </c>
      <c r="G69" s="7" t="s">
        <v>64</v>
      </c>
      <c r="H69" s="7" t="s">
        <v>183</v>
      </c>
      <c r="I69" s="8"/>
      <c r="J69" s="7" t="s">
        <v>67</v>
      </c>
      <c r="K69" s="8"/>
      <c r="L69" s="8"/>
      <c r="M69" s="8"/>
      <c r="N69" s="8"/>
    </row>
    <row r="70" customFormat="false" ht="45" hidden="false" customHeight="true" outlineLevel="0" collapsed="false">
      <c r="A70" s="8" t="n">
        <v>70</v>
      </c>
      <c r="B70" s="7" t="s">
        <v>186</v>
      </c>
      <c r="C70" s="7" t="s">
        <v>187</v>
      </c>
      <c r="D70" s="7" t="s">
        <v>187</v>
      </c>
      <c r="E70" s="8" t="s">
        <v>188</v>
      </c>
      <c r="F70" s="8" t="s">
        <v>63</v>
      </c>
      <c r="G70" s="7" t="s">
        <v>64</v>
      </c>
      <c r="H70" s="7" t="s">
        <v>189</v>
      </c>
      <c r="I70" s="8"/>
      <c r="J70" s="7" t="s">
        <v>67</v>
      </c>
      <c r="K70" s="8"/>
      <c r="L70" s="8"/>
      <c r="M70" s="8"/>
      <c r="N70" s="8"/>
    </row>
    <row r="71" customFormat="false" ht="45" hidden="false" customHeight="true" outlineLevel="0" collapsed="false">
      <c r="A71" s="8" t="n">
        <v>71</v>
      </c>
      <c r="B71" s="7" t="s">
        <v>191</v>
      </c>
      <c r="C71" s="7" t="s">
        <v>192</v>
      </c>
      <c r="D71" s="7" t="s">
        <v>192</v>
      </c>
      <c r="E71" s="8" t="s">
        <v>193</v>
      </c>
      <c r="F71" s="8"/>
      <c r="G71" s="7" t="s">
        <v>64</v>
      </c>
      <c r="H71" s="8" t="s">
        <v>194</v>
      </c>
      <c r="I71" s="8"/>
      <c r="J71" s="7" t="s">
        <v>67</v>
      </c>
      <c r="K71" s="8"/>
      <c r="L71" s="8"/>
      <c r="M71" s="8"/>
      <c r="N71" s="8"/>
    </row>
    <row r="72" customFormat="false" ht="45" hidden="false" customHeight="true" outlineLevel="0" collapsed="false">
      <c r="A72" s="8" t="n">
        <v>72</v>
      </c>
      <c r="B72" s="7" t="s">
        <v>196</v>
      </c>
      <c r="C72" s="7" t="s">
        <v>197</v>
      </c>
      <c r="D72" s="7" t="s">
        <v>198</v>
      </c>
      <c r="E72" s="8" t="s">
        <v>199</v>
      </c>
      <c r="F72" s="8" t="s">
        <v>50</v>
      </c>
      <c r="G72" s="7" t="s">
        <v>51</v>
      </c>
      <c r="H72" s="8" t="s">
        <v>200</v>
      </c>
      <c r="I72" s="8"/>
      <c r="J72" s="7" t="s">
        <v>56</v>
      </c>
      <c r="K72" s="8"/>
      <c r="L72" s="8"/>
      <c r="M72" s="8"/>
      <c r="N72" s="8"/>
    </row>
    <row r="73" customFormat="false" ht="45" hidden="false" customHeight="true" outlineLevel="0" collapsed="false">
      <c r="A73" s="8" t="n">
        <v>73</v>
      </c>
      <c r="B73" s="7" t="s">
        <v>202</v>
      </c>
      <c r="C73" s="7" t="s">
        <v>203</v>
      </c>
      <c r="D73" s="7" t="s">
        <v>203</v>
      </c>
      <c r="E73" s="7" t="s">
        <v>204</v>
      </c>
      <c r="F73" s="8" t="s">
        <v>50</v>
      </c>
      <c r="G73" s="7" t="s">
        <v>64</v>
      </c>
      <c r="H73" s="8" t="s">
        <v>205</v>
      </c>
      <c r="I73" s="8"/>
      <c r="J73" s="7" t="s">
        <v>67</v>
      </c>
      <c r="K73" s="8"/>
      <c r="L73" s="8"/>
      <c r="M73" s="8"/>
      <c r="N73" s="8"/>
    </row>
    <row r="74" customFormat="false" ht="45" hidden="false" customHeight="true" outlineLevel="0" collapsed="false">
      <c r="A74" s="8" t="n">
        <v>74</v>
      </c>
      <c r="B74" s="7" t="s">
        <v>207</v>
      </c>
      <c r="C74" s="7" t="s">
        <v>208</v>
      </c>
      <c r="D74" s="7" t="s">
        <v>209</v>
      </c>
      <c r="E74" s="7" t="s">
        <v>210</v>
      </c>
      <c r="F74" s="8" t="s">
        <v>211</v>
      </c>
      <c r="G74" s="7" t="s">
        <v>64</v>
      </c>
      <c r="H74" s="7" t="s">
        <v>212</v>
      </c>
      <c r="I74" s="8"/>
      <c r="J74" s="7" t="s">
        <v>67</v>
      </c>
      <c r="K74" s="8"/>
      <c r="L74" s="8"/>
      <c r="M74" s="8"/>
      <c r="N74" s="8"/>
    </row>
    <row r="75" customFormat="false" ht="45" hidden="false" customHeight="true" outlineLevel="0" collapsed="false">
      <c r="A75" s="8" t="n">
        <v>75</v>
      </c>
      <c r="B75" s="7" t="s">
        <v>214</v>
      </c>
      <c r="C75" s="7" t="s">
        <v>216</v>
      </c>
      <c r="D75" s="7" t="s">
        <v>217</v>
      </c>
      <c r="E75" s="8" t="s">
        <v>218</v>
      </c>
      <c r="F75" s="8" t="s">
        <v>50</v>
      </c>
      <c r="G75" s="7" t="s">
        <v>64</v>
      </c>
      <c r="H75" s="7" t="s">
        <v>219</v>
      </c>
      <c r="I75" s="8" t="s">
        <v>675</v>
      </c>
      <c r="J75" s="7" t="s">
        <v>67</v>
      </c>
      <c r="K75" s="12" t="n">
        <v>46050</v>
      </c>
      <c r="L75" s="8"/>
      <c r="M75" s="8"/>
      <c r="N75" s="8"/>
    </row>
    <row r="76" customFormat="false" ht="45" hidden="false" customHeight="true" outlineLevel="0" collapsed="false">
      <c r="A76" s="8" t="n">
        <v>76</v>
      </c>
      <c r="B76" s="7" t="s">
        <v>225</v>
      </c>
      <c r="C76" s="7" t="s">
        <v>226</v>
      </c>
      <c r="D76" s="7" t="s">
        <v>226</v>
      </c>
      <c r="E76" s="8" t="s">
        <v>227</v>
      </c>
      <c r="F76" s="8" t="s">
        <v>50</v>
      </c>
      <c r="G76" s="7" t="s">
        <v>64</v>
      </c>
      <c r="H76" s="7" t="s">
        <v>228</v>
      </c>
      <c r="I76" s="8" t="s">
        <v>676</v>
      </c>
      <c r="J76" s="7" t="s">
        <v>67</v>
      </c>
      <c r="K76" s="8"/>
      <c r="L76" s="8"/>
      <c r="M76" s="8"/>
      <c r="N76" s="8"/>
    </row>
    <row r="77" customFormat="false" ht="45" hidden="false" customHeight="true" outlineLevel="0" collapsed="false">
      <c r="A77" s="8" t="n">
        <v>77</v>
      </c>
      <c r="B77" s="7" t="s">
        <v>233</v>
      </c>
      <c r="C77" s="7" t="s">
        <v>234</v>
      </c>
      <c r="D77" s="7" t="s">
        <v>235</v>
      </c>
      <c r="E77" s="8" t="s">
        <v>236</v>
      </c>
      <c r="F77" s="8" t="s">
        <v>50</v>
      </c>
      <c r="G77" s="7" t="s">
        <v>155</v>
      </c>
      <c r="H77" s="7" t="s">
        <v>237</v>
      </c>
      <c r="I77" s="8" t="s">
        <v>238</v>
      </c>
      <c r="J77" s="7" t="s">
        <v>56</v>
      </c>
      <c r="K77" s="8"/>
      <c r="L77" s="8"/>
      <c r="M77" s="8"/>
      <c r="N77" s="8"/>
    </row>
    <row r="78" customFormat="false" ht="45" hidden="false" customHeight="true" outlineLevel="0" collapsed="false">
      <c r="A78" s="8" t="n">
        <v>78</v>
      </c>
      <c r="B78" s="7" t="s">
        <v>240</v>
      </c>
      <c r="C78" s="7" t="s">
        <v>241</v>
      </c>
      <c r="D78" s="7" t="s">
        <v>242</v>
      </c>
      <c r="E78" s="8" t="s">
        <v>243</v>
      </c>
      <c r="F78" s="8" t="s">
        <v>50</v>
      </c>
      <c r="G78" s="7" t="s">
        <v>155</v>
      </c>
      <c r="H78" s="8" t="s">
        <v>244</v>
      </c>
      <c r="I78" s="8"/>
      <c r="J78" s="7" t="s">
        <v>56</v>
      </c>
      <c r="K78" s="8"/>
      <c r="L78" s="8"/>
      <c r="M78" s="8"/>
      <c r="N78" s="8"/>
    </row>
    <row r="79" customFormat="false" ht="45" hidden="false" customHeight="true" outlineLevel="0" collapsed="false">
      <c r="A79" s="8" t="n">
        <v>79</v>
      </c>
      <c r="B79" s="7" t="s">
        <v>247</v>
      </c>
      <c r="C79" s="7" t="s">
        <v>248</v>
      </c>
      <c r="D79" s="7" t="s">
        <v>249</v>
      </c>
      <c r="E79" s="7" t="s">
        <v>250</v>
      </c>
      <c r="F79" s="8" t="s">
        <v>50</v>
      </c>
      <c r="G79" s="7" t="s">
        <v>64</v>
      </c>
      <c r="H79" s="7" t="s">
        <v>251</v>
      </c>
      <c r="I79" s="7" t="s">
        <v>252</v>
      </c>
      <c r="J79" s="7" t="s">
        <v>67</v>
      </c>
      <c r="K79" s="8"/>
      <c r="L79" s="8"/>
      <c r="M79" s="8"/>
      <c r="N79" s="8"/>
    </row>
    <row r="80" customFormat="false" ht="45" hidden="false" customHeight="true" outlineLevel="0" collapsed="false">
      <c r="A80" s="8" t="n">
        <v>80</v>
      </c>
      <c r="B80" s="7" t="s">
        <v>255</v>
      </c>
      <c r="C80" s="7" t="s">
        <v>256</v>
      </c>
      <c r="D80" s="7" t="s">
        <v>257</v>
      </c>
      <c r="E80" s="7" t="s">
        <v>258</v>
      </c>
      <c r="F80" s="8" t="s">
        <v>50</v>
      </c>
      <c r="G80" s="7" t="s">
        <v>64</v>
      </c>
      <c r="H80" s="8" t="s">
        <v>259</v>
      </c>
      <c r="I80" s="8"/>
      <c r="J80" s="7" t="s">
        <v>67</v>
      </c>
      <c r="K80" s="8"/>
      <c r="L80" s="8"/>
      <c r="M80" s="8"/>
      <c r="N80" s="8"/>
    </row>
    <row r="81" customFormat="false" ht="45" hidden="false" customHeight="true" outlineLevel="0" collapsed="false">
      <c r="A81" s="8" t="n">
        <v>81</v>
      </c>
      <c r="B81" s="7" t="s">
        <v>263</v>
      </c>
      <c r="C81" s="7" t="s">
        <v>264</v>
      </c>
      <c r="D81" s="7" t="s">
        <v>264</v>
      </c>
      <c r="E81" s="8" t="s">
        <v>265</v>
      </c>
      <c r="F81" s="8" t="s">
        <v>50</v>
      </c>
      <c r="G81" s="7" t="s">
        <v>51</v>
      </c>
      <c r="H81" s="7" t="s">
        <v>266</v>
      </c>
      <c r="I81" s="8"/>
      <c r="J81" s="7" t="s">
        <v>56</v>
      </c>
      <c r="K81" s="8"/>
      <c r="L81" s="8"/>
      <c r="M81" s="8"/>
      <c r="N81" s="8"/>
    </row>
    <row r="82" customFormat="false" ht="45" hidden="false" customHeight="true" outlineLevel="0" collapsed="false">
      <c r="A82" s="8" t="n">
        <v>82</v>
      </c>
      <c r="B82" s="7" t="s">
        <v>267</v>
      </c>
      <c r="C82" s="7" t="s">
        <v>268</v>
      </c>
      <c r="D82" s="7" t="s">
        <v>268</v>
      </c>
      <c r="E82" s="7" t="s">
        <v>154</v>
      </c>
      <c r="F82" s="8" t="s">
        <v>269</v>
      </c>
      <c r="G82" s="7" t="s">
        <v>51</v>
      </c>
      <c r="H82" s="7" t="s">
        <v>270</v>
      </c>
      <c r="I82" s="8"/>
      <c r="J82" s="7" t="s">
        <v>56</v>
      </c>
      <c r="K82" s="8"/>
      <c r="L82" s="8"/>
      <c r="M82" s="8"/>
      <c r="N82" s="8"/>
    </row>
    <row r="83" customFormat="false" ht="45" hidden="false" customHeight="true" outlineLevel="0" collapsed="false">
      <c r="A83" s="8" t="n">
        <v>83</v>
      </c>
      <c r="B83" s="7" t="s">
        <v>271</v>
      </c>
      <c r="C83" s="7" t="s">
        <v>272</v>
      </c>
      <c r="D83" s="7" t="s">
        <v>272</v>
      </c>
      <c r="E83" s="8" t="s">
        <v>101</v>
      </c>
      <c r="F83" s="8" t="s">
        <v>50</v>
      </c>
      <c r="G83" s="7" t="s">
        <v>51</v>
      </c>
      <c r="H83" s="7" t="s">
        <v>273</v>
      </c>
      <c r="I83" s="8"/>
      <c r="J83" s="7" t="s">
        <v>56</v>
      </c>
      <c r="K83" s="8"/>
      <c r="L83" s="8"/>
      <c r="M83" s="8"/>
      <c r="N83" s="8"/>
    </row>
  </sheetData>
  <autoFilter ref="A1:N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2026-10-13T07:44:30Z</dcterms:created>
  <dc:creator>openpyxl</dc:creator>
  <dc:description/>
  <dc:language>en-US</dc:language>
  <cp:lastModifiedBy/>
  <dcterms:modified xsi:type="dcterms:W3CDTF">2026-10-13T07:44:30Z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