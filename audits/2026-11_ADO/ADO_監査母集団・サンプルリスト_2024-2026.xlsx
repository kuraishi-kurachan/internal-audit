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母集団_2024-2026" sheetId="2" state="visible" r:id="rId4"/>
    <sheet name="集計" sheetId="3" state="visible" r:id="rId5"/>
    <sheet name="再発パターン" sheetId="4" state="visible" r:id="rId6"/>
    <sheet name="事例6件_調書" sheetId="5" state="visible" r:id="rId7"/>
    <sheet name="事前依頼リスト" sheetId="6" state="visible" r:id="rId8"/>
    <sheet name="ADO②との対応" sheetId="7" state="visible" r:id="rId9"/>
    <sheet name="全件_2020-2026" sheetId="8" state="visible" r:id="rId10"/>
  </sheets>
  <definedNames>
    <definedName function="false" hidden="true" localSheetId="7" name="_xlnm._FilterDatabase" vbProcedure="false">'全件_2020-2026'!$A$1:$P$53</definedName>
    <definedName function="false" hidden="true" localSheetId="1" name="_xlnm._FilterDatabase" vbProcedure="false">'母集団_2024-2026'!$A$1:$Z$36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ADO</t>
        </r>
        <r>
          <rPr>
            <sz val="10"/>
            <rFont val="WenQuanYi Zen Hei"/>
            <family val="2"/>
          </rPr>
          <t xml:space="preserve">シートのみ存在する列。対策決定時の見込み記述が中心。</t>
        </r>
      </text>
    </comment>
  </commentList>
</comments>
</file>

<file path=xl/sharedStrings.xml><?xml version="1.0" encoding="utf-8"?>
<sst xmlns="http://schemas.openxmlformats.org/spreadsheetml/2006/main" count="1290" uniqueCount="581">
  <si>
    <r>
      <rPr>
        <b val="true"/>
        <sz val="14"/>
        <rFont val="WenQuanYi Zen Hei"/>
        <family val="2"/>
      </rPr>
      <t xml:space="preserve">第</t>
    </r>
    <r>
      <rPr>
        <b val="true"/>
        <sz val="14"/>
        <rFont val="Arial"/>
        <family val="0"/>
        <charset val="1"/>
      </rPr>
      <t xml:space="preserve">13</t>
    </r>
    <r>
      <rPr>
        <b val="true"/>
        <sz val="14"/>
        <rFont val="WenQuanYi Zen Hei"/>
        <family val="2"/>
      </rPr>
      <t xml:space="preserve">期 内部監査（経営管理室・</t>
    </r>
    <r>
      <rPr>
        <b val="true"/>
        <sz val="14"/>
        <rFont val="Arial"/>
        <family val="0"/>
        <charset val="1"/>
      </rPr>
      <t xml:space="preserve">ADO</t>
    </r>
    <r>
      <rPr>
        <b val="true"/>
        <sz val="14"/>
        <rFont val="WenQuanYi Zen Hei"/>
        <family val="2"/>
      </rPr>
      <t xml:space="preserve">）母集団・サンプルリスト ― インシデント恒久対応策の運用監査</t>
    </r>
  </si>
  <si>
    <r>
      <rPr>
        <sz val="10"/>
        <rFont val="WenQuanYi Zen Hei"/>
        <family val="2"/>
      </rPr>
      <t xml:space="preserve">作成日：</t>
    </r>
    <r>
      <rPr>
        <sz val="10"/>
        <rFont val="Arial"/>
        <family val="0"/>
        <charset val="1"/>
      </rPr>
      <t xml:space="preserve">2026/10/28</t>
    </r>
    <r>
      <rPr>
        <sz val="10"/>
        <rFont val="WenQuanYi Zen Hei"/>
        <family val="2"/>
      </rPr>
      <t xml:space="preserve">　出典：【</t>
    </r>
    <r>
      <rPr>
        <sz val="10"/>
        <rFont val="Arial"/>
        <family val="0"/>
        <charset val="1"/>
      </rPr>
      <t xml:space="preserve">ADO</t>
    </r>
    <r>
      <rPr>
        <sz val="10"/>
        <rFont val="WenQuanYi Zen Hei"/>
        <family val="2"/>
      </rPr>
      <t xml:space="preserve">】インシデント管理シート（</t>
    </r>
    <r>
      <rPr>
        <sz val="10"/>
        <rFont val="Arial"/>
        <family val="0"/>
        <charset val="1"/>
      </rPr>
      <t xml:space="preserve">2026/10/13</t>
    </r>
    <r>
      <rPr>
        <sz val="10"/>
        <rFont val="WenQuanYi Zen Hei"/>
        <family val="2"/>
      </rPr>
      <t xml:space="preserve">時点・</t>
    </r>
    <r>
      <rPr>
        <sz val="10"/>
        <rFont val="Arial"/>
        <family val="0"/>
        <charset val="1"/>
      </rPr>
      <t xml:space="preserve">ADO-1</t>
    </r>
    <r>
      <rPr>
        <sz val="10"/>
        <rFont val="WenQuanYi Zen Hei"/>
        <family val="2"/>
      </rPr>
      <t xml:space="preserve">〜</t>
    </r>
    <r>
      <rPr>
        <sz val="10"/>
        <rFont val="Arial"/>
        <family val="0"/>
        <charset val="1"/>
      </rPr>
      <t xml:space="preserve">33</t>
    </r>
    <r>
      <rPr>
        <sz val="10"/>
        <rFont val="WenQuanYi Zen Hei"/>
        <family val="2"/>
      </rPr>
      <t xml:space="preserve">）＋【</t>
    </r>
    <r>
      <rPr>
        <sz val="10"/>
        <rFont val="Arial"/>
        <family val="0"/>
        <charset val="1"/>
      </rPr>
      <t xml:space="preserve">ADG</t>
    </r>
    <r>
      <rPr>
        <sz val="10"/>
        <rFont val="WenQuanYi Zen Hei"/>
        <family val="2"/>
      </rPr>
      <t xml:space="preserve">】インシデント管理シート（</t>
    </r>
    <r>
      <rPr>
        <sz val="10"/>
        <rFont val="Arial"/>
        <family val="0"/>
        <charset val="1"/>
      </rPr>
      <t xml:space="preserve">2024/7</t>
    </r>
    <r>
      <rPr>
        <sz val="10"/>
        <rFont val="WenQuanYi Zen Hei"/>
        <family val="2"/>
      </rPr>
      <t xml:space="preserve">まで・</t>
    </r>
    <r>
      <rPr>
        <sz val="10"/>
        <rFont val="Arial"/>
        <family val="0"/>
        <charset val="1"/>
      </rPr>
      <t xml:space="preserve">ADG-1</t>
    </r>
    <r>
      <rPr>
        <sz val="10"/>
        <rFont val="WenQuanYi Zen Hei"/>
        <family val="2"/>
      </rPr>
      <t xml:space="preserve">〜</t>
    </r>
    <r>
      <rPr>
        <sz val="10"/>
        <rFont val="Arial"/>
        <family val="0"/>
        <charset val="1"/>
      </rPr>
      <t xml:space="preserve">19</t>
    </r>
    <r>
      <rPr>
        <sz val="10"/>
        <rFont val="WenQuanYi Zen Hei"/>
        <family val="2"/>
      </rPr>
      <t xml:space="preserve">）</t>
    </r>
  </si>
  <si>
    <r>
      <rPr>
        <b val="true"/>
        <sz val="10"/>
        <color rgb="FFB71C1C"/>
        <rFont val="WenQuanYi Zen Hei"/>
        <family val="2"/>
      </rPr>
      <t xml:space="preserve">監査実施者：森本（監査計画どおり）。経営管理室には内部監査担当（倉石）が所属するため、倉石が起票者・担当者である案件（</t>
    </r>
    <r>
      <rPr>
        <b val="true"/>
        <sz val="10"/>
        <color rgb="FFB71C1C"/>
        <rFont val="Arial"/>
        <family val="0"/>
        <charset val="1"/>
      </rPr>
      <t xml:space="preserve">ADO-2,3,10,12,16,25</t>
    </r>
    <r>
      <rPr>
        <b val="true"/>
        <sz val="10"/>
        <color rgb="FFB71C1C"/>
        <rFont val="WenQuanYi Zen Hei"/>
        <family val="2"/>
      </rPr>
      <t xml:space="preserve">）は森本がレビューする（監査プログラム </t>
    </r>
    <r>
      <rPr>
        <b val="true"/>
        <sz val="10"/>
        <color rgb="FFB71C1C"/>
        <rFont val="Arial"/>
        <family val="0"/>
        <charset val="1"/>
      </rPr>
      <t xml:space="preserve">02 §9</t>
    </r>
    <r>
      <rPr>
        <b val="true"/>
        <sz val="10"/>
        <color rgb="FFB71C1C"/>
        <rFont val="WenQuanYi Zen Hei"/>
        <family val="2"/>
      </rPr>
      <t xml:space="preserve">）。</t>
    </r>
  </si>
  <si>
    <t xml:space="preserve">■ シート構成</t>
  </si>
  <si>
    <r>
      <rPr>
        <sz val="10"/>
        <rFont val="WenQuanYi Zen Hei"/>
        <family val="2"/>
      </rPr>
      <t xml:space="preserve">・母集団</t>
    </r>
    <r>
      <rPr>
        <sz val="10"/>
        <rFont val="Arial"/>
        <family val="0"/>
        <charset val="1"/>
      </rPr>
      <t xml:space="preserve">_2024-2026</t>
    </r>
    <r>
      <rPr>
        <sz val="10"/>
        <rFont val="WenQuanYi Zen Hei"/>
        <family val="2"/>
      </rPr>
      <t xml:space="preserve">：</t>
    </r>
    <r>
      <rPr>
        <sz val="10"/>
        <rFont val="Arial"/>
        <family val="0"/>
        <charset val="1"/>
      </rPr>
      <t xml:space="preserve">2024</t>
    </r>
    <r>
      <rPr>
        <sz val="10"/>
        <rFont val="WenQuanYi Zen Hei"/>
        <family val="2"/>
      </rPr>
      <t xml:space="preserve">〜</t>
    </r>
    <r>
      <rPr>
        <sz val="10"/>
        <rFont val="Arial"/>
        <family val="0"/>
        <charset val="1"/>
      </rPr>
      <t xml:space="preserve">2026</t>
    </r>
    <r>
      <rPr>
        <sz val="10"/>
        <rFont val="WenQuanYi Zen Hei"/>
        <family val="2"/>
      </rPr>
      <t xml:space="preserve">年発見の</t>
    </r>
    <r>
      <rPr>
        <sz val="10"/>
        <rFont val="Arial"/>
        <family val="0"/>
        <charset val="1"/>
      </rPr>
      <t xml:space="preserve">35</t>
    </r>
    <r>
      <rPr>
        <sz val="10"/>
        <rFont val="WenQuanYi Zen Hei"/>
        <family val="2"/>
      </rPr>
      <t xml:space="preserve">件（</t>
    </r>
    <r>
      <rPr>
        <sz val="10"/>
        <rFont val="Arial"/>
        <family val="0"/>
        <charset val="1"/>
      </rPr>
      <t xml:space="preserve">ADG 2</t>
    </r>
    <r>
      <rPr>
        <sz val="10"/>
        <rFont val="WenQuanYi Zen Hei"/>
        <family val="2"/>
      </rPr>
      <t xml:space="preserve">件＋</t>
    </r>
    <r>
      <rPr>
        <sz val="10"/>
        <rFont val="Arial"/>
        <family val="0"/>
        <charset val="1"/>
      </rPr>
      <t xml:space="preserve">ADO 33</t>
    </r>
    <r>
      <rPr>
        <sz val="10"/>
        <rFont val="WenQuanYi Zen Hei"/>
        <family val="2"/>
      </rPr>
      <t xml:space="preserve">件）。</t>
    </r>
    <r>
      <rPr>
        <sz val="10"/>
        <rFont val="Arial"/>
        <family val="0"/>
        <charset val="1"/>
      </rPr>
      <t xml:space="preserve">G1</t>
    </r>
    <r>
      <rPr>
        <sz val="10"/>
        <rFont val="WenQuanYi Zen Hei"/>
        <family val="2"/>
      </rPr>
      <t xml:space="preserve">承認・</t>
    </r>
    <r>
      <rPr>
        <sz val="10"/>
        <rFont val="Arial"/>
        <family val="0"/>
        <charset val="1"/>
      </rPr>
      <t xml:space="preserve">G4</t>
    </r>
    <r>
      <rPr>
        <sz val="10"/>
        <rFont val="WenQuanYi Zen Hei"/>
        <family val="2"/>
      </rPr>
      <t xml:space="preserve">完了確認・ステータスは数式で自動判定。サンプル区分・確認観点は監査人の事前判断。</t>
    </r>
  </si>
  <si>
    <r>
      <rPr>
        <sz val="10"/>
        <rFont val="WenQuanYi Zen Hei"/>
        <family val="2"/>
      </rPr>
      <t xml:space="preserve">・集計：年別</t>
    </r>
    <r>
      <rPr>
        <sz val="10"/>
        <rFont val="Arial"/>
        <family val="0"/>
        <charset val="1"/>
      </rPr>
      <t xml:space="preserve">×</t>
    </r>
    <r>
      <rPr>
        <sz val="10"/>
        <rFont val="WenQuanYi Zen Hei"/>
        <family val="2"/>
      </rPr>
      <t xml:space="preserve">レベル別、原因分類、記録状況（母集団シートを参照する数式）。</t>
    </r>
  </si>
  <si>
    <r>
      <rPr>
        <sz val="10"/>
        <rFont val="WenQuanYi Zen Hei"/>
        <family val="2"/>
      </rPr>
      <t xml:space="preserve">・再発パターン：</t>
    </r>
    <r>
      <rPr>
        <sz val="10"/>
        <rFont val="Arial"/>
        <family val="0"/>
        <charset val="1"/>
      </rPr>
      <t xml:space="preserve">2020</t>
    </r>
    <r>
      <rPr>
        <sz val="10"/>
        <rFont val="WenQuanYi Zen Hei"/>
        <family val="2"/>
      </rPr>
      <t xml:space="preserve">〜</t>
    </r>
    <r>
      <rPr>
        <sz val="10"/>
        <rFont val="Arial"/>
        <family val="0"/>
        <charset val="1"/>
      </rPr>
      <t xml:space="preserve">2026</t>
    </r>
    <r>
      <rPr>
        <sz val="10"/>
        <rFont val="WenQuanYi Zen Hei"/>
        <family val="2"/>
      </rPr>
      <t xml:space="preserve">年の全</t>
    </r>
    <r>
      <rPr>
        <sz val="10"/>
        <rFont val="Arial"/>
        <family val="0"/>
        <charset val="1"/>
      </rPr>
      <t xml:space="preserve">52</t>
    </r>
    <r>
      <rPr>
        <sz val="10"/>
        <rFont val="WenQuanYi Zen Hei"/>
        <family val="2"/>
      </rPr>
      <t xml:space="preserve">件から同型事象を整理。</t>
    </r>
  </si>
  <si>
    <r>
      <rPr>
        <sz val="10"/>
        <rFont val="WenQuanYi Zen Hei"/>
        <family val="2"/>
      </rPr>
      <t xml:space="preserve">・事例</t>
    </r>
    <r>
      <rPr>
        <sz val="10"/>
        <rFont val="Arial"/>
        <family val="0"/>
        <charset val="1"/>
      </rPr>
      <t xml:space="preserve">6</t>
    </r>
    <r>
      <rPr>
        <sz val="10"/>
        <rFont val="WenQuanYi Zen Hei"/>
        <family val="2"/>
      </rPr>
      <t xml:space="preserve">件</t>
    </r>
    <r>
      <rPr>
        <sz val="10"/>
        <rFont val="Arial"/>
        <family val="0"/>
        <charset val="1"/>
      </rPr>
      <t xml:space="preserve">_</t>
    </r>
    <r>
      <rPr>
        <sz val="10"/>
        <rFont val="WenQuanYi Zen Hei"/>
        <family val="2"/>
      </rPr>
      <t xml:space="preserve">調書：監査調書テンプレ（</t>
    </r>
    <r>
      <rPr>
        <sz val="10"/>
        <rFont val="Arial"/>
        <family val="0"/>
        <charset val="1"/>
      </rPr>
      <t xml:space="preserve">templates/02</t>
    </r>
    <r>
      <rPr>
        <sz val="10"/>
        <rFont val="WenQuanYi Zen Hei"/>
        <family val="2"/>
      </rPr>
      <t xml:space="preserve">）を</t>
    </r>
    <r>
      <rPr>
        <sz val="10"/>
        <rFont val="Arial"/>
        <family val="0"/>
        <charset val="1"/>
      </rPr>
      <t xml:space="preserve">6</t>
    </r>
    <r>
      <rPr>
        <sz val="10"/>
        <rFont val="WenQuanYi Zen Hei"/>
        <family val="2"/>
      </rPr>
      <t xml:space="preserve">事例（</t>
    </r>
    <r>
      <rPr>
        <sz val="10"/>
        <rFont val="Arial"/>
        <family val="0"/>
        <charset val="1"/>
      </rPr>
      <t xml:space="preserve">19</t>
    </r>
    <r>
      <rPr>
        <sz val="10"/>
        <rFont val="WenQuanYi Zen Hei"/>
        <family val="2"/>
      </rPr>
      <t xml:space="preserve">件）に展開。黄色セルを監査当日に記入。</t>
    </r>
  </si>
  <si>
    <r>
      <rPr>
        <sz val="10"/>
        <rFont val="WenQuanYi Zen Hei"/>
        <family val="2"/>
      </rPr>
      <t xml:space="preserve">・事前依頼リスト：監査実施通知（●</t>
    </r>
    <r>
      <rPr>
        <sz val="10"/>
        <rFont val="Arial"/>
        <family val="0"/>
        <charset val="1"/>
      </rPr>
      <t xml:space="preserve">11</t>
    </r>
    <r>
      <rPr>
        <sz val="10"/>
        <rFont val="WenQuanYi Zen Hei"/>
        <family val="2"/>
      </rPr>
      <t xml:space="preserve">月）に添付して現物を準備してもらう一覧。</t>
    </r>
  </si>
  <si>
    <r>
      <rPr>
        <sz val="10"/>
        <rFont val="WenQuanYi Zen Hei"/>
        <family val="2"/>
      </rPr>
      <t xml:space="preserve">・</t>
    </r>
    <r>
      <rPr>
        <sz val="10"/>
        <rFont val="Arial"/>
        <family val="0"/>
        <charset val="1"/>
      </rPr>
      <t xml:space="preserve">ADO②</t>
    </r>
    <r>
      <rPr>
        <sz val="10"/>
        <rFont val="WenQuanYi Zen Hei"/>
        <family val="2"/>
      </rPr>
      <t xml:space="preserve">との対応：</t>
    </r>
    <r>
      <rPr>
        <sz val="10"/>
        <rFont val="Arial"/>
        <family val="0"/>
        <charset val="1"/>
      </rPr>
      <t xml:space="preserve">ADO②</t>
    </r>
    <r>
      <rPr>
        <sz val="10"/>
        <rFont val="WenQuanYi Zen Hei"/>
        <family val="2"/>
      </rPr>
      <t xml:space="preserve">（</t>
    </r>
    <r>
      <rPr>
        <sz val="10"/>
        <rFont val="Arial"/>
        <family val="0"/>
        <charset val="1"/>
      </rPr>
      <t xml:space="preserve">28</t>
    </r>
    <r>
      <rPr>
        <sz val="10"/>
        <rFont val="WenQuanYi Zen Hei"/>
        <family val="2"/>
      </rPr>
      <t xml:space="preserve">項目）のうちインシデントと直結する項目の対応表。</t>
    </r>
  </si>
  <si>
    <r>
      <rPr>
        <sz val="10"/>
        <rFont val="WenQuanYi Zen Hei"/>
        <family val="2"/>
      </rPr>
      <t xml:space="preserve">・全件</t>
    </r>
    <r>
      <rPr>
        <sz val="10"/>
        <rFont val="Arial"/>
        <family val="0"/>
        <charset val="1"/>
      </rPr>
      <t xml:space="preserve">_2020-2026</t>
    </r>
    <r>
      <rPr>
        <sz val="10"/>
        <rFont val="WenQuanYi Zen Hei"/>
        <family val="2"/>
      </rPr>
      <t xml:space="preserve">：参照用の全</t>
    </r>
    <r>
      <rPr>
        <sz val="10"/>
        <rFont val="Arial"/>
        <family val="0"/>
        <charset val="1"/>
      </rPr>
      <t xml:space="preserve">52</t>
    </r>
    <r>
      <rPr>
        <sz val="10"/>
        <rFont val="WenQuanYi Zen Hei"/>
        <family val="2"/>
      </rPr>
      <t xml:space="preserve">件（主要列のみ）。</t>
    </r>
  </si>
  <si>
    <t xml:space="preserve">■ 判定記号（数式）</t>
  </si>
  <si>
    <r>
      <rPr>
        <sz val="10"/>
        <rFont val="Arial"/>
        <family val="0"/>
        <charset val="1"/>
      </rPr>
      <t xml:space="preserve">G1 </t>
    </r>
    <r>
      <rPr>
        <sz val="10"/>
        <rFont val="WenQuanYi Zen Hei"/>
        <family val="2"/>
      </rPr>
      <t xml:space="preserve">承認：○＝承認者と承認日あり／△＝承認者のみで承認日なし／</t>
    </r>
    <r>
      <rPr>
        <sz val="10"/>
        <rFont val="Arial"/>
        <family val="0"/>
        <charset val="1"/>
      </rPr>
      <t xml:space="preserve">×</t>
    </r>
    <r>
      <rPr>
        <sz val="10"/>
        <rFont val="WenQuanYi Zen Hei"/>
        <family val="2"/>
      </rPr>
      <t xml:space="preserve">＝承認形跡なし</t>
    </r>
  </si>
  <si>
    <r>
      <rPr>
        <sz val="10"/>
        <rFont val="Arial"/>
        <family val="0"/>
        <charset val="1"/>
      </rPr>
      <t xml:space="preserve">G4 </t>
    </r>
    <r>
      <rPr>
        <sz val="10"/>
        <rFont val="WenQuanYi Zen Hei"/>
        <family val="2"/>
      </rPr>
      <t xml:space="preserve">完了確認：○＝対応完了日あり／</t>
    </r>
    <r>
      <rPr>
        <sz val="10"/>
        <rFont val="Arial"/>
        <family val="0"/>
        <charset val="1"/>
      </rPr>
      <t xml:space="preserve">×</t>
    </r>
    <r>
      <rPr>
        <sz val="10"/>
        <rFont val="WenQuanYi Zen Hei"/>
        <family val="2"/>
      </rPr>
      <t xml:space="preserve">＝未記入</t>
    </r>
  </si>
  <si>
    <t xml:space="preserve">ステータス：恒久対応策が空欄→「対策未記載」、完了日あり→「完了」、完了予定超過かつ未完了→「期限超過」、承認日なし→「承認日なし」、それ以外→「対応中」</t>
  </si>
  <si>
    <t xml:space="preserve">■ 色の意味</t>
  </si>
  <si>
    <r>
      <rPr>
        <sz val="10"/>
        <rFont val="WenQuanYi Zen Hei"/>
        <family val="2"/>
      </rPr>
      <t xml:space="preserve">黄色：監査当日に記入するセル　灰色：数式（編集不要）　薄赤：恒久対応策が空欄のレベル</t>
    </r>
    <r>
      <rPr>
        <sz val="10"/>
        <rFont val="Arial"/>
        <family val="0"/>
        <charset val="1"/>
      </rPr>
      <t xml:space="preserve">3</t>
    </r>
    <r>
      <rPr>
        <sz val="10"/>
        <rFont val="WenQuanYi Zen Hei"/>
        <family val="2"/>
      </rPr>
      <t xml:space="preserve">案件</t>
    </r>
  </si>
  <si>
    <t xml:space="preserve">■ 留意点</t>
  </si>
  <si>
    <r>
      <rPr>
        <sz val="10"/>
        <rFont val="WenQuanYi Zen Hei"/>
        <family val="2"/>
      </rPr>
      <t xml:space="preserve">・</t>
    </r>
    <r>
      <rPr>
        <sz val="10"/>
        <rFont val="Arial"/>
        <family val="0"/>
        <charset val="1"/>
      </rPr>
      <t xml:space="preserve">ADO</t>
    </r>
    <r>
      <rPr>
        <sz val="10"/>
        <rFont val="WenQuanYi Zen Hei"/>
        <family val="2"/>
      </rPr>
      <t xml:space="preserve">は全社インシデント管理の事務局でもある。自部門の記録状況に加え、事務局としての完了確認（全社で未実施）と台帳入力統制の導入状況も監査対象。</t>
    </r>
  </si>
  <si>
    <r>
      <rPr>
        <sz val="10"/>
        <rFont val="WenQuanYi Zen Hei"/>
        <family val="2"/>
      </rPr>
      <t xml:space="preserve">・「恒久対応の有効性」列は</t>
    </r>
    <r>
      <rPr>
        <sz val="10"/>
        <rFont val="Arial"/>
        <family val="0"/>
        <charset val="1"/>
      </rPr>
      <t xml:space="preserve">ADO</t>
    </r>
    <r>
      <rPr>
        <sz val="10"/>
        <rFont val="WenQuanYi Zen Hei"/>
        <family val="2"/>
      </rPr>
      <t xml:space="preserve">のみ記入があるが、内容は対策決定時の「効くはず」という見込みの記述が中心で、事後の検証記録ではない。</t>
    </r>
  </si>
  <si>
    <r>
      <rPr>
        <sz val="10"/>
        <rFont val="WenQuanYi Zen Hei"/>
        <family val="2"/>
      </rPr>
      <t xml:space="preserve">・</t>
    </r>
    <r>
      <rPr>
        <sz val="10"/>
        <rFont val="Arial"/>
        <family val="0"/>
        <charset val="1"/>
      </rPr>
      <t xml:space="preserve">2027</t>
    </r>
    <r>
      <rPr>
        <sz val="10"/>
        <rFont val="WenQuanYi Zen Hei"/>
        <family val="2"/>
      </rPr>
      <t xml:space="preserve">年</t>
    </r>
    <r>
      <rPr>
        <sz val="10"/>
        <rFont val="Arial"/>
        <family val="0"/>
        <charset val="1"/>
      </rPr>
      <t xml:space="preserve">6</t>
    </r>
    <r>
      <rPr>
        <sz val="10"/>
        <rFont val="WenQuanYi Zen Hei"/>
        <family val="2"/>
      </rPr>
      <t xml:space="preserve">月期 内部監査シートの</t>
    </r>
    <r>
      <rPr>
        <sz val="10"/>
        <rFont val="Arial"/>
        <family val="0"/>
        <charset val="1"/>
      </rPr>
      <t xml:space="preserve">ADO②</t>
    </r>
    <r>
      <rPr>
        <sz val="10"/>
        <rFont val="WenQuanYi Zen Hei"/>
        <family val="2"/>
      </rPr>
      <t xml:space="preserve">タブの「（前回）監査結果」列は、</t>
    </r>
    <r>
      <rPr>
        <sz val="10"/>
        <rFont val="Arial"/>
        <family val="0"/>
        <charset val="1"/>
      </rPr>
      <t xml:space="preserve">2024/11</t>
    </r>
    <r>
      <rPr>
        <sz val="10"/>
        <rFont val="WenQuanYi Zen Hei"/>
        <family val="2"/>
      </rPr>
      <t xml:space="preserve">の結果ではなく</t>
    </r>
    <r>
      <rPr>
        <sz val="10"/>
        <rFont val="Arial"/>
        <family val="0"/>
        <charset val="1"/>
      </rPr>
      <t xml:space="preserve">2023</t>
    </r>
    <r>
      <rPr>
        <sz val="10"/>
        <rFont val="WenQuanYi Zen Hei"/>
        <family val="2"/>
      </rPr>
      <t xml:space="preserve">年の内容がコピーされたまま（要更新）。</t>
    </r>
  </si>
  <si>
    <t xml:space="preserve">No</t>
  </si>
  <si>
    <r>
      <rPr>
        <b val="true"/>
        <sz val="10"/>
        <color rgb="FFFFFFFF"/>
        <rFont val="WenQuanYi Zen Hei"/>
        <family val="2"/>
      </rPr>
      <t xml:space="preserve">ユニーク</t>
    </r>
    <r>
      <rPr>
        <b val="true"/>
        <sz val="10"/>
        <color rgb="FFFFFFFF"/>
        <rFont val="Arial"/>
        <family val="0"/>
        <charset val="1"/>
      </rPr>
      <t xml:space="preserve">ID</t>
    </r>
  </si>
  <si>
    <t xml:space="preserve">出典</t>
  </si>
  <si>
    <t xml:space="preserve">発生日</t>
  </si>
  <si>
    <t xml:space="preserve">発見日</t>
  </si>
  <si>
    <t xml:space="preserve">発見年</t>
  </si>
  <si>
    <t xml:space="preserve">課題タイトル</t>
  </si>
  <si>
    <t xml:space="preserve">原因分類</t>
  </si>
  <si>
    <t xml:space="preserve">レベル</t>
  </si>
  <si>
    <t xml:space="preserve">影響範囲</t>
  </si>
  <si>
    <t xml:space="preserve">会計影響</t>
  </si>
  <si>
    <t xml:space="preserve">恒久対応策（抜粋）</t>
  </si>
  <si>
    <r>
      <rPr>
        <b val="true"/>
        <sz val="10"/>
        <color rgb="FFFFFFFF"/>
        <rFont val="WenQuanYi Zen Hei"/>
        <family val="2"/>
      </rPr>
      <t xml:space="preserve">恒久対応</t>
    </r>
    <r>
      <rPr>
        <b val="true"/>
        <sz val="10"/>
        <color rgb="FFFFFFFF"/>
        <rFont val="Arial"/>
        <family val="0"/>
        <charset val="1"/>
      </rPr>
      <t xml:space="preserve">PL</t>
    </r>
  </si>
  <si>
    <t xml:space="preserve">恒久対応承認者</t>
  </si>
  <si>
    <t xml:space="preserve">恒久対応承認日</t>
  </si>
  <si>
    <t xml:space="preserve">完了予定日</t>
  </si>
  <si>
    <t xml:space="preserve">対応完了日</t>
  </si>
  <si>
    <t xml:space="preserve">恒久対応の有効性（抜粋）</t>
  </si>
  <si>
    <r>
      <rPr>
        <b val="true"/>
        <sz val="10"/>
        <color rgb="FFFFFFFF"/>
        <rFont val="Arial"/>
        <family val="0"/>
        <charset val="1"/>
      </rPr>
      <t xml:space="preserve">G1 </t>
    </r>
    <r>
      <rPr>
        <b val="true"/>
        <sz val="10"/>
        <color rgb="FFFFFFFF"/>
        <rFont val="WenQuanYi Zen Hei"/>
        <family val="2"/>
      </rPr>
      <t xml:space="preserve">承認</t>
    </r>
  </si>
  <si>
    <r>
      <rPr>
        <b val="true"/>
        <sz val="10"/>
        <color rgb="FFFFFFFF"/>
        <rFont val="Arial"/>
        <family val="0"/>
        <charset val="1"/>
      </rPr>
      <t xml:space="preserve">G4 </t>
    </r>
    <r>
      <rPr>
        <b val="true"/>
        <sz val="10"/>
        <color rgb="FFFFFFFF"/>
        <rFont val="WenQuanYi Zen Hei"/>
        <family val="2"/>
      </rPr>
      <t xml:space="preserve">完了確認</t>
    </r>
  </si>
  <si>
    <t xml:space="preserve">ステータス</t>
  </si>
  <si>
    <t xml:space="preserve">再発タグ</t>
  </si>
  <si>
    <t xml:space="preserve">サンプル区分</t>
  </si>
  <si>
    <t xml:space="preserve">監査での確認観点</t>
  </si>
  <si>
    <r>
      <rPr>
        <b val="true"/>
        <sz val="10"/>
        <color rgb="FFFFFFFF"/>
        <rFont val="WenQuanYi Zen Hei"/>
        <family val="2"/>
      </rPr>
      <t xml:space="preserve">監査結果</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</si>
  <si>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t xml:space="preserve">確認した証憑・メモ</t>
  </si>
  <si>
    <t xml:space="preserve">ADG-18</t>
  </si>
  <si>
    <t xml:space="preserve">ADG</t>
  </si>
  <si>
    <t xml:space="preserve">支払漏れ</t>
  </si>
  <si>
    <r>
      <rPr>
        <sz val="10"/>
        <rFont val="WenQuanYi Zen Hei"/>
        <family val="2"/>
      </rPr>
      <t xml:space="preserve">業務起因</t>
    </r>
    <r>
      <rPr>
        <sz val="10"/>
        <rFont val="Arial"/>
        <family val="0"/>
        <charset val="1"/>
      </rPr>
      <t xml:space="preserve">_</t>
    </r>
    <r>
      <rPr>
        <sz val="10"/>
        <rFont val="WenQuanYi Zen Hei"/>
        <family val="2"/>
      </rPr>
      <t xml:space="preserve">作業起因</t>
    </r>
  </si>
  <si>
    <t xml:space="preserve">3</t>
  </si>
  <si>
    <r>
      <rPr>
        <sz val="10"/>
        <rFont val="Arial"/>
        <family val="0"/>
        <charset val="1"/>
      </rPr>
      <t xml:space="preserve">1</t>
    </r>
    <r>
      <rPr>
        <sz val="10"/>
        <rFont val="WenQuanYi Zen Hei"/>
        <family val="2"/>
      </rPr>
      <t xml:space="preserve">名</t>
    </r>
  </si>
  <si>
    <r>
      <rPr>
        <sz val="10"/>
        <rFont val="Arial"/>
        <family val="0"/>
        <charset val="1"/>
      </rPr>
      <t xml:space="preserve">550,000</t>
    </r>
    <r>
      <rPr>
        <sz val="10"/>
        <rFont val="WenQuanYi Zen Hei"/>
        <family val="2"/>
      </rPr>
      <t xml:space="preserve">円</t>
    </r>
  </si>
  <si>
    <r>
      <rPr>
        <sz val="10"/>
        <rFont val="Arial"/>
        <family val="0"/>
        <charset val="1"/>
      </rPr>
      <t xml:space="preserve">15</t>
    </r>
    <r>
      <rPr>
        <sz val="10"/>
        <rFont val="WenQuanYi Zen Hei"/>
        <family val="2"/>
      </rPr>
      <t xml:space="preserve">日払いの取引先に関するチェックリストが自己チェックになっているため、イレギュラーな対応を実施する場合はダブルチェックを入れていく。</t>
    </r>
  </si>
  <si>
    <t xml:space="preserve">shuzo</t>
  </si>
  <si>
    <t xml:space="preserve">ash</t>
  </si>
  <si>
    <t xml:space="preserve">支払い（漏れ・過重）</t>
  </si>
  <si>
    <r>
      <rPr>
        <sz val="10"/>
        <rFont val="Arial"/>
        <family val="0"/>
        <charset val="1"/>
      </rPr>
      <t xml:space="preserve">Lv3</t>
    </r>
    <r>
      <rPr>
        <sz val="10"/>
        <rFont val="WenQuanYi Zen Hei"/>
        <family val="2"/>
      </rPr>
      <t xml:space="preserve">全件</t>
    </r>
  </si>
  <si>
    <r>
      <rPr>
        <sz val="10"/>
        <rFont val="WenQuanYi Zen Hei"/>
        <family val="2"/>
      </rPr>
      <t xml:space="preserve">業務委託報酬</t>
    </r>
    <r>
      <rPr>
        <sz val="10"/>
        <rFont val="Arial"/>
        <family val="0"/>
        <charset val="1"/>
      </rPr>
      <t xml:space="preserve">55</t>
    </r>
    <r>
      <rPr>
        <sz val="10"/>
        <rFont val="WenQuanYi Zen Hei"/>
        <family val="2"/>
      </rPr>
      <t xml:space="preserve">万円の支払漏れ。恒久対応「イレギュラー時は</t>
    </r>
    <r>
      <rPr>
        <sz val="10"/>
        <rFont val="Arial"/>
        <family val="0"/>
        <charset val="1"/>
      </rPr>
      <t xml:space="preserve">W</t>
    </r>
    <r>
      <rPr>
        <sz val="10"/>
        <rFont val="WenQuanYi Zen Hei"/>
        <family val="2"/>
      </rPr>
      <t xml:space="preserve">チェック」。完了</t>
    </r>
    <r>
      <rPr>
        <sz val="10"/>
        <rFont val="Arial"/>
        <family val="0"/>
        <charset val="1"/>
      </rPr>
      <t xml:space="preserve">2024/1/16</t>
    </r>
    <r>
      <rPr>
        <sz val="10"/>
        <rFont val="WenQuanYi Zen Hei"/>
        <family val="2"/>
      </rPr>
      <t xml:space="preserve">。</t>
    </r>
  </si>
  <si>
    <t xml:space="preserve">ADG-19</t>
  </si>
  <si>
    <t xml:space="preserve">正社員給与の支払い遅延未遂</t>
  </si>
  <si>
    <r>
      <rPr>
        <sz val="10"/>
        <rFont val="WenQuanYi Zen Hei"/>
        <family val="2"/>
      </rPr>
      <t xml:space="preserve">業務起因</t>
    </r>
    <r>
      <rPr>
        <sz val="10"/>
        <rFont val="Arial"/>
        <family val="0"/>
        <charset val="1"/>
      </rPr>
      <t xml:space="preserve">_</t>
    </r>
    <r>
      <rPr>
        <sz val="10"/>
        <rFont val="WenQuanYi Zen Hei"/>
        <family val="2"/>
      </rPr>
      <t xml:space="preserve">ルール不足</t>
    </r>
  </si>
  <si>
    <t xml:space="preserve">特になし</t>
  </si>
  <si>
    <t xml:space="preserve">現状、以下の統制行為を実施している。
①月次決算終了後、口座残高を確認の上資金移動の要否を経理担当が判断している。
②支払手続実施時に、支払担当が口座残高を確認している。支払手続実施時に、請求書の束と合わせて預金残高を付箋で記載して承認に回すことにする。
仕組みというより、運用の問題だと思いますので徹底を図るのと、カレンダーでの予定を設定し、毎月資金移動するようにします。</t>
  </si>
  <si>
    <t xml:space="preserve">資金繰り・銀行遵守事項</t>
  </si>
  <si>
    <t xml:space="preserve">★事例②</t>
  </si>
  <si>
    <r>
      <rPr>
        <sz val="10"/>
        <rFont val="Arial"/>
        <family val="0"/>
        <charset val="1"/>
      </rPr>
      <t xml:space="preserve">2023/6</t>
    </r>
    <r>
      <rPr>
        <sz val="10"/>
        <rFont val="WenQuanYi Zen Hei"/>
        <family val="2"/>
      </rPr>
      <t xml:space="preserve">（</t>
    </r>
    <r>
      <rPr>
        <sz val="10"/>
        <rFont val="Arial"/>
        <family val="0"/>
        <charset val="1"/>
      </rPr>
      <t xml:space="preserve">ADG-14</t>
    </r>
    <r>
      <rPr>
        <sz val="10"/>
        <rFont val="WenQuanYi Zen Hei"/>
        <family val="2"/>
      </rPr>
      <t xml:space="preserve">）と同じ給与支払遅延未遂が再発。恒久対応「カレンダーで毎月資金移動」が継続しているか。</t>
    </r>
    <r>
      <rPr>
        <sz val="10"/>
        <rFont val="Arial"/>
        <family val="0"/>
        <charset val="1"/>
      </rPr>
      <t xml:space="preserve">2024/5/27</t>
    </r>
    <r>
      <rPr>
        <sz val="10"/>
        <rFont val="WenQuanYi Zen Hei"/>
        <family val="2"/>
      </rPr>
      <t xml:space="preserve">完了扱い。</t>
    </r>
  </si>
  <si>
    <t xml:space="preserve">ADO-1</t>
  </si>
  <si>
    <t xml:space="preserve">ADO</t>
  </si>
  <si>
    <t xml:space="preserve">非正規社員給与支払いミス</t>
  </si>
  <si>
    <r>
      <rPr>
        <sz val="10"/>
        <rFont val="Arial"/>
        <family val="0"/>
        <charset val="1"/>
      </rPr>
      <t xml:space="preserve">29</t>
    </r>
    <r>
      <rPr>
        <sz val="10"/>
        <rFont val="WenQuanYi Zen Hei"/>
        <family val="2"/>
      </rPr>
      <t xml:space="preserve">名</t>
    </r>
  </si>
  <si>
    <t xml:space="preserve">5292692.0</t>
  </si>
  <si>
    <r>
      <rPr>
        <sz val="10"/>
        <rFont val="Arial"/>
        <family val="0"/>
        <charset val="1"/>
      </rPr>
      <t xml:space="preserve">ADO</t>
    </r>
    <r>
      <rPr>
        <sz val="10"/>
        <rFont val="WenQuanYi Zen Hei"/>
        <family val="2"/>
      </rPr>
      <t xml:space="preserve">長（</t>
    </r>
    <r>
      <rPr>
        <sz val="10"/>
        <rFont val="Arial"/>
        <family val="0"/>
        <charset val="1"/>
      </rPr>
      <t xml:space="preserve">shuzo</t>
    </r>
    <r>
      <rPr>
        <sz val="10"/>
        <rFont val="WenQuanYi Zen Hei"/>
        <family val="2"/>
      </rPr>
      <t xml:space="preserve">）の振込承認後に、担当者が金融機関の</t>
    </r>
    <r>
      <rPr>
        <sz val="10"/>
        <rFont val="Arial"/>
        <family val="0"/>
        <charset val="1"/>
      </rPr>
      <t xml:space="preserve">UI</t>
    </r>
    <r>
      <rPr>
        <sz val="10"/>
        <rFont val="WenQuanYi Zen Hei"/>
        <family val="2"/>
      </rPr>
      <t xml:space="preserve">上で振込承認されていることを確認する</t>
    </r>
  </si>
  <si>
    <t xml:space="preserve">2024/09/13</t>
  </si>
  <si>
    <r>
      <rPr>
        <sz val="10"/>
        <rFont val="WenQuanYi Zen Hei"/>
        <family val="2"/>
      </rPr>
      <t xml:space="preserve">非正規給与</t>
    </r>
    <r>
      <rPr>
        <sz val="10"/>
        <rFont val="Arial"/>
        <family val="0"/>
        <charset val="1"/>
      </rPr>
      <t xml:space="preserve">529</t>
    </r>
    <r>
      <rPr>
        <sz val="10"/>
        <rFont val="WenQuanYi Zen Hei"/>
        <family val="2"/>
      </rPr>
      <t xml:space="preserve">万円の支払申請漏れ。恒久対応「振込承認後に金融機関</t>
    </r>
    <r>
      <rPr>
        <sz val="10"/>
        <rFont val="Arial"/>
        <family val="0"/>
        <charset val="1"/>
      </rPr>
      <t xml:space="preserve">UI</t>
    </r>
    <r>
      <rPr>
        <sz val="10"/>
        <rFont val="WenQuanYi Zen Hei"/>
        <family val="2"/>
      </rPr>
      <t xml:space="preserve">で承認を確認」は人の確認。完了</t>
    </r>
    <r>
      <rPr>
        <sz val="10"/>
        <rFont val="Arial"/>
        <family val="0"/>
        <charset val="1"/>
      </rPr>
      <t xml:space="preserve">2024/9/13</t>
    </r>
    <r>
      <rPr>
        <sz val="10"/>
        <rFont val="WenQuanYi Zen Hei"/>
        <family val="2"/>
      </rPr>
      <t xml:space="preserve">。</t>
    </r>
  </si>
  <si>
    <t xml:space="preserve">ADO-2</t>
  </si>
  <si>
    <r>
      <rPr>
        <sz val="10"/>
        <rFont val="WenQuanYi Zen Hei"/>
        <family val="2"/>
      </rPr>
      <t xml:space="preserve">確認中ですが、</t>
    </r>
    <r>
      <rPr>
        <sz val="10"/>
        <rFont val="Arial"/>
        <family val="0"/>
        <charset val="1"/>
      </rPr>
      <t xml:space="preserve">2022</t>
    </r>
    <r>
      <rPr>
        <sz val="10"/>
        <rFont val="WenQuanYi Zen Hei"/>
        <family val="2"/>
      </rPr>
      <t xml:space="preserve">年ごろから？</t>
    </r>
  </si>
  <si>
    <r>
      <rPr>
        <sz val="10"/>
        <rFont val="WenQuanYi Zen Hei"/>
        <family val="2"/>
      </rPr>
      <t xml:space="preserve">モバイル</t>
    </r>
    <r>
      <rPr>
        <sz val="10"/>
        <rFont val="Arial"/>
        <family val="0"/>
        <charset val="1"/>
      </rPr>
      <t xml:space="preserve">SUICA</t>
    </r>
    <r>
      <rPr>
        <sz val="10"/>
        <rFont val="WenQuanYi Zen Hei"/>
        <family val="2"/>
      </rPr>
      <t xml:space="preserve">が個人利用されていた</t>
    </r>
  </si>
  <si>
    <t xml:space="preserve">確認中</t>
  </si>
  <si>
    <r>
      <rPr>
        <sz val="10"/>
        <rFont val="WenQuanYi Zen Hei"/>
        <family val="2"/>
      </rPr>
      <t xml:space="preserve">社用モバイル</t>
    </r>
    <r>
      <rPr>
        <sz val="10"/>
        <rFont val="Arial"/>
        <family val="0"/>
        <charset val="1"/>
      </rPr>
      <t xml:space="preserve">Suica</t>
    </r>
    <r>
      <rPr>
        <sz val="10"/>
        <rFont val="WenQuanYi Zen Hei"/>
        <family val="2"/>
      </rPr>
      <t xml:space="preserve">を利用する場合は、</t>
    </r>
    <r>
      <rPr>
        <sz val="10"/>
        <rFont val="Arial"/>
        <family val="0"/>
        <charset val="1"/>
      </rPr>
      <t xml:space="preserve">2</t>
    </r>
    <r>
      <rPr>
        <sz val="10"/>
        <rFont val="WenQuanYi Zen Hei"/>
        <family val="2"/>
      </rPr>
      <t xml:space="preserve">台持ち（社用携帯＋個人携帯）とする
※</t>
    </r>
    <r>
      <rPr>
        <sz val="10"/>
        <rFont val="Arial"/>
        <family val="0"/>
        <charset val="1"/>
      </rPr>
      <t xml:space="preserve">1</t>
    </r>
    <r>
      <rPr>
        <sz val="10"/>
        <rFont val="WenQuanYi Zen Hei"/>
        <family val="2"/>
      </rPr>
      <t xml:space="preserve">台の端末に複数のモバイル</t>
    </r>
    <r>
      <rPr>
        <sz val="10"/>
        <rFont val="Arial"/>
        <family val="0"/>
        <charset val="1"/>
      </rPr>
      <t xml:space="preserve">Suica</t>
    </r>
    <r>
      <rPr>
        <sz val="10"/>
        <rFont val="WenQuanYi Zen Hei"/>
        <family val="2"/>
      </rPr>
      <t xml:space="preserve">（モバイル</t>
    </r>
    <r>
      <rPr>
        <sz val="10"/>
        <rFont val="Arial"/>
        <family val="0"/>
        <charset val="1"/>
      </rPr>
      <t xml:space="preserve">PASMO</t>
    </r>
    <r>
      <rPr>
        <sz val="10"/>
        <rFont val="WenQuanYi Zen Hei"/>
        <family val="2"/>
      </rPr>
      <t xml:space="preserve">含む）を入れる運用は</t>
    </r>
    <r>
      <rPr>
        <sz val="10"/>
        <rFont val="Arial"/>
        <family val="0"/>
        <charset val="1"/>
      </rPr>
      <t xml:space="preserve">NG</t>
    </r>
    <r>
      <rPr>
        <sz val="10"/>
        <rFont val="WenQuanYi Zen Hei"/>
        <family val="2"/>
      </rPr>
      <t xml:space="preserve">とする</t>
    </r>
  </si>
  <si>
    <t xml:space="preserve">keny</t>
  </si>
  <si>
    <t xml:space="preserve">経費・備品ルール</t>
  </si>
  <si>
    <r>
      <rPr>
        <sz val="10"/>
        <rFont val="WenQuanYi Zen Hei"/>
        <family val="2"/>
      </rPr>
      <t xml:space="preserve">モバイル</t>
    </r>
    <r>
      <rPr>
        <sz val="10"/>
        <rFont val="Arial"/>
        <family val="0"/>
        <charset val="1"/>
      </rPr>
      <t xml:space="preserve">Suica</t>
    </r>
    <r>
      <rPr>
        <sz val="10"/>
        <rFont val="WenQuanYi Zen Hei"/>
        <family val="2"/>
      </rPr>
      <t xml:space="preserve">の個人利用。恒久対応「</t>
    </r>
    <r>
      <rPr>
        <sz val="10"/>
        <rFont val="Arial"/>
        <family val="0"/>
        <charset val="1"/>
      </rPr>
      <t xml:space="preserve">2</t>
    </r>
    <r>
      <rPr>
        <sz val="10"/>
        <rFont val="WenQuanYi Zen Hei"/>
        <family val="2"/>
      </rPr>
      <t xml:space="preserve">台持ちルール」。承認・期限なし。起票者が倉石のため森本が確認。</t>
    </r>
  </si>
  <si>
    <t xml:space="preserve">ADO-3</t>
  </si>
  <si>
    <t xml:space="preserve">退社時の未施錠が発生した</t>
  </si>
  <si>
    <t xml:space="preserve">2</t>
  </si>
  <si>
    <t xml:space="preserve">なし</t>
  </si>
  <si>
    <t xml:space="preserve">オフィス管理</t>
  </si>
  <si>
    <t xml:space="preserve">参考</t>
  </si>
  <si>
    <r>
      <rPr>
        <sz val="10"/>
        <rFont val="WenQuanYi Zen Hei"/>
        <family val="2"/>
      </rPr>
      <t xml:space="preserve">退社時の未施錠（</t>
    </r>
    <r>
      <rPr>
        <sz val="10"/>
        <rFont val="Arial"/>
        <family val="0"/>
        <charset val="1"/>
      </rPr>
      <t xml:space="preserve">Lv2</t>
    </r>
    <r>
      <rPr>
        <sz val="10"/>
        <rFont val="WenQuanYi Zen Hei"/>
        <family val="2"/>
      </rPr>
      <t xml:space="preserve">）。恒久対応策空欄。起票者が倉石のため森本が確認。</t>
    </r>
  </si>
  <si>
    <t xml:space="preserve">ADO-4</t>
  </si>
  <si>
    <t xml:space="preserve">候補者送付先ミス</t>
  </si>
  <si>
    <t xml:space="preserve">事象をチーム内で共有し、フルネームを確認することを徹底することを改めて確認しました。</t>
  </si>
  <si>
    <t xml:space="preserve">個人情報・情報発信</t>
  </si>
  <si>
    <r>
      <rPr>
        <sz val="10"/>
        <rFont val="WenQuanYi Zen Hei"/>
        <family val="2"/>
      </rPr>
      <t xml:space="preserve">候補者名の誤記（</t>
    </r>
    <r>
      <rPr>
        <sz val="10"/>
        <rFont val="Arial"/>
        <family val="0"/>
        <charset val="1"/>
      </rPr>
      <t xml:space="preserve">Lv3</t>
    </r>
    <r>
      <rPr>
        <sz val="10"/>
        <rFont val="WenQuanYi Zen Hei"/>
        <family val="2"/>
      </rPr>
      <t xml:space="preserve">）。恒久対応「フルネーム確認の徹底」＝人依存。承認・期限なし。</t>
    </r>
    <r>
      <rPr>
        <sz val="10"/>
        <rFont val="Arial"/>
        <family val="0"/>
        <charset val="1"/>
      </rPr>
      <t xml:space="preserve">ADO②No.9</t>
    </r>
    <r>
      <rPr>
        <sz val="10"/>
        <rFont val="WenQuanYi Zen Hei"/>
        <family val="2"/>
      </rPr>
      <t xml:space="preserve">（個人情報）に関連。</t>
    </r>
  </si>
  <si>
    <t xml:space="preserve">ADO-5</t>
  </si>
  <si>
    <t xml:space="preserve">振込過重払い</t>
  </si>
  <si>
    <r>
      <rPr>
        <sz val="10"/>
        <rFont val="Arial"/>
        <family val="0"/>
        <charset val="1"/>
      </rPr>
      <t xml:space="preserve">3</t>
    </r>
    <r>
      <rPr>
        <sz val="10"/>
        <rFont val="WenQuanYi Zen Hei"/>
        <family val="2"/>
      </rPr>
      <t xml:space="preserve">件</t>
    </r>
  </si>
  <si>
    <r>
      <rPr>
        <sz val="10"/>
        <rFont val="WenQuanYi Zen Hei"/>
        <family val="2"/>
      </rPr>
      <t xml:space="preserve">￥</t>
    </r>
    <r>
      <rPr>
        <sz val="10"/>
        <rFont val="Arial"/>
        <family val="0"/>
        <charset val="1"/>
      </rPr>
      <t xml:space="preserve">831,449</t>
    </r>
  </si>
  <si>
    <t xml:space="preserve">基本は消込後にデータ抽出する。スケジュール的に厳しい場合はデータ抽出後でもデータ上でチェックを実施する（第一チェック者がチェックしたエクセルなどを第二チェック者に共有し、ダブルチェックを行う）</t>
  </si>
  <si>
    <r>
      <rPr>
        <sz val="10"/>
        <rFont val="WenQuanYi Zen Hei"/>
        <family val="2"/>
      </rPr>
      <t xml:space="preserve">過重払い</t>
    </r>
    <r>
      <rPr>
        <sz val="10"/>
        <rFont val="Arial"/>
        <family val="0"/>
        <charset val="1"/>
      </rPr>
      <t xml:space="preserve">83</t>
    </r>
    <r>
      <rPr>
        <sz val="10"/>
        <rFont val="WenQuanYi Zen Hei"/>
        <family val="2"/>
      </rPr>
      <t xml:space="preserve">万円。恒久対応「消込後にデータ抽出、無理なら</t>
    </r>
    <r>
      <rPr>
        <sz val="10"/>
        <rFont val="Arial"/>
        <family val="0"/>
        <charset val="1"/>
      </rPr>
      <t xml:space="preserve">Excel</t>
    </r>
    <r>
      <rPr>
        <sz val="10"/>
        <rFont val="WenQuanYi Zen Hei"/>
        <family val="2"/>
      </rPr>
      <t xml:space="preserve">を共有して</t>
    </r>
    <r>
      <rPr>
        <sz val="10"/>
        <rFont val="Arial"/>
        <family val="0"/>
        <charset val="1"/>
      </rPr>
      <t xml:space="preserve">W</t>
    </r>
    <r>
      <rPr>
        <sz val="10"/>
        <rFont val="WenQuanYi Zen Hei"/>
        <family val="2"/>
      </rPr>
      <t xml:space="preserve">チェック」。</t>
    </r>
  </si>
  <si>
    <t xml:space="preserve">ADO-6</t>
  </si>
  <si>
    <t xml:space="preserve">振込先相違</t>
  </si>
  <si>
    <r>
      <rPr>
        <sz val="10"/>
        <rFont val="Arial"/>
        <family val="0"/>
        <charset val="1"/>
      </rPr>
      <t xml:space="preserve">2</t>
    </r>
    <r>
      <rPr>
        <sz val="10"/>
        <rFont val="WenQuanYi Zen Hei"/>
        <family val="2"/>
      </rPr>
      <t xml:space="preserve">件</t>
    </r>
  </si>
  <si>
    <r>
      <rPr>
        <sz val="10"/>
        <rFont val="WenQuanYi Zen Hei"/>
        <family val="2"/>
      </rPr>
      <t xml:space="preserve">￥</t>
    </r>
    <r>
      <rPr>
        <sz val="10"/>
        <rFont val="Arial"/>
        <family val="0"/>
        <charset val="1"/>
      </rPr>
      <t xml:space="preserve">39,600</t>
    </r>
  </si>
  <si>
    <r>
      <rPr>
        <sz val="10"/>
        <rFont val="WenQuanYi Zen Hei"/>
        <family val="2"/>
      </rPr>
      <t xml:space="preserve">イレギュラー支払はフロー内で行うことを徹底する。フロー外は基本的に受けない。フロー外の支払については、</t>
    </r>
    <r>
      <rPr>
        <sz val="10"/>
        <rFont val="Arial"/>
        <family val="0"/>
        <charset val="1"/>
      </rPr>
      <t xml:space="preserve">GM</t>
    </r>
    <r>
      <rPr>
        <sz val="10"/>
        <rFont val="WenQuanYi Zen Hei"/>
        <family val="2"/>
      </rPr>
      <t xml:space="preserve">から</t>
    </r>
    <r>
      <rPr>
        <sz val="10"/>
        <rFont val="Arial"/>
        <family val="0"/>
        <charset val="1"/>
      </rPr>
      <t xml:space="preserve">shuzo</t>
    </r>
    <r>
      <rPr>
        <sz val="10"/>
        <rFont val="WenQuanYi Zen Hei"/>
        <family val="2"/>
      </rPr>
      <t xml:space="preserve">さんへ確認依頼し振込の可否をもらう。</t>
    </r>
  </si>
  <si>
    <r>
      <rPr>
        <sz val="10"/>
        <rFont val="WenQuanYi Zen Hei"/>
        <family val="2"/>
      </rPr>
      <t xml:space="preserve">振込先相違。恒久対応「フロー外のイレギュラー支払は受けない」。完了</t>
    </r>
    <r>
      <rPr>
        <sz val="10"/>
        <rFont val="Arial"/>
        <family val="0"/>
        <charset val="1"/>
      </rPr>
      <t xml:space="preserve">2025/2/27</t>
    </r>
    <r>
      <rPr>
        <sz val="10"/>
        <rFont val="WenQuanYi Zen Hei"/>
        <family val="2"/>
      </rPr>
      <t xml:space="preserve">。</t>
    </r>
  </si>
  <si>
    <t xml:space="preserve">ADO-7</t>
  </si>
  <si>
    <r>
      <rPr>
        <sz val="10"/>
        <rFont val="WenQuanYi Zen Hei"/>
        <family val="2"/>
      </rPr>
      <t xml:space="preserve">給与支払いミス（過小）：</t>
    </r>
    <r>
      <rPr>
        <sz val="10"/>
        <rFont val="Arial"/>
        <family val="0"/>
        <charset val="1"/>
      </rPr>
      <t xml:space="preserve">2025</t>
    </r>
    <r>
      <rPr>
        <sz val="10"/>
        <rFont val="WenQuanYi Zen Hei"/>
        <family val="2"/>
      </rPr>
      <t xml:space="preserve">年</t>
    </r>
    <r>
      <rPr>
        <sz val="10"/>
        <rFont val="Arial"/>
        <family val="0"/>
        <charset val="1"/>
      </rPr>
      <t xml:space="preserve">3</t>
    </r>
    <r>
      <rPr>
        <sz val="10"/>
        <rFont val="WenQuanYi Zen Hei"/>
        <family val="2"/>
      </rPr>
      <t xml:space="preserve">月分</t>
    </r>
  </si>
  <si>
    <r>
      <rPr>
        <sz val="10"/>
        <rFont val="Arial"/>
        <family val="0"/>
        <charset val="1"/>
      </rPr>
      <t xml:space="preserve">3</t>
    </r>
    <r>
      <rPr>
        <sz val="10"/>
        <rFont val="WenQuanYi Zen Hei"/>
        <family val="2"/>
      </rPr>
      <t xml:space="preserve">名</t>
    </r>
  </si>
  <si>
    <t xml:space="preserve">70000.0</t>
  </si>
  <si>
    <r>
      <rPr>
        <sz val="10"/>
        <rFont val="WenQuanYi Zen Hei"/>
        <family val="2"/>
      </rPr>
      <t xml:space="preserve">給与台帳と支払金額の一致を確認し、差異原因については上長である</t>
    </r>
    <r>
      <rPr>
        <sz val="10"/>
        <rFont val="Arial"/>
        <family val="0"/>
        <charset val="1"/>
      </rPr>
      <t xml:space="preserve">ADO</t>
    </r>
    <r>
      <rPr>
        <sz val="10"/>
        <rFont val="WenQuanYi Zen Hei"/>
        <family val="2"/>
      </rPr>
      <t xml:space="preserve">長が確認する。</t>
    </r>
  </si>
  <si>
    <r>
      <rPr>
        <sz val="10"/>
        <rFont val="WenQuanYi Zen Hei"/>
        <family val="2"/>
      </rPr>
      <t xml:space="preserve">給与計算（</t>
    </r>
    <r>
      <rPr>
        <sz val="10"/>
        <rFont val="Arial"/>
        <family val="0"/>
        <charset val="1"/>
      </rPr>
      <t xml:space="preserve">SCSK</t>
    </r>
    <r>
      <rPr>
        <sz val="10"/>
        <rFont val="WenQuanYi Zen Hei"/>
        <family val="2"/>
      </rPr>
      <t xml:space="preserve">連携）</t>
    </r>
  </si>
  <si>
    <t xml:space="preserve">★事例④</t>
  </si>
  <si>
    <r>
      <rPr>
        <sz val="10"/>
        <rFont val="WenQuanYi Zen Hei"/>
        <family val="2"/>
      </rPr>
      <t xml:space="preserve">カティーサーク受賞者の給与過小。恒久対応「給与台帳と支払金額の一致確認、差異は</t>
    </r>
    <r>
      <rPr>
        <sz val="10"/>
        <rFont val="Arial"/>
        <family val="0"/>
        <charset val="1"/>
      </rPr>
      <t xml:space="preserve">ADO</t>
    </r>
    <r>
      <rPr>
        <sz val="10"/>
        <rFont val="WenQuanYi Zen Hei"/>
        <family val="2"/>
      </rPr>
      <t xml:space="preserve">長が確認」が毎月の手順になっているか。完了日なし。</t>
    </r>
  </si>
  <si>
    <t xml:space="preserve">ADO-8</t>
  </si>
  <si>
    <t xml:space="preserve">振込漏れ</t>
  </si>
  <si>
    <r>
      <rPr>
        <sz val="10"/>
        <rFont val="Arial"/>
        <family val="0"/>
        <charset val="1"/>
      </rPr>
      <t xml:space="preserve">1</t>
    </r>
    <r>
      <rPr>
        <sz val="10"/>
        <rFont val="WenQuanYi Zen Hei"/>
        <family val="2"/>
      </rPr>
      <t xml:space="preserve">件</t>
    </r>
  </si>
  <si>
    <t xml:space="preserve">804100.0</t>
  </si>
  <si>
    <t xml:space="preserve">口座振替、となっているものについても、請求書内容を確認し、月末を経過後に引き落としされていることを確認する時間を作る。</t>
  </si>
  <si>
    <r>
      <rPr>
        <sz val="10"/>
        <rFont val="WenQuanYi Zen Hei"/>
        <family val="2"/>
      </rPr>
      <t xml:space="preserve">振込漏れ</t>
    </r>
    <r>
      <rPr>
        <sz val="10"/>
        <rFont val="Arial"/>
        <family val="0"/>
        <charset val="1"/>
      </rPr>
      <t xml:space="preserve">80</t>
    </r>
    <r>
      <rPr>
        <sz val="10"/>
        <rFont val="WenQuanYi Zen Hei"/>
        <family val="2"/>
      </rPr>
      <t xml:space="preserve">万円（口座振替扱いでチェック漏れ）。恒久対応は「確認する時間を作る」。完了日なし。</t>
    </r>
  </si>
  <si>
    <t xml:space="preserve">ADO-9</t>
  </si>
  <si>
    <t xml:space="preserve">1</t>
  </si>
  <si>
    <r>
      <rPr>
        <sz val="10"/>
        <rFont val="WenQuanYi Zen Hei"/>
        <family val="2"/>
      </rPr>
      <t xml:space="preserve">￥</t>
    </r>
    <r>
      <rPr>
        <sz val="10"/>
        <rFont val="Arial"/>
        <family val="0"/>
        <charset val="1"/>
      </rPr>
      <t xml:space="preserve">3,795</t>
    </r>
  </si>
  <si>
    <t xml:space="preserve">支払依頼の申請者が実際の業務に関与していなかったために発生している。支払依頼管理表作成時に、担当者への確認をするフローとする。</t>
  </si>
  <si>
    <r>
      <rPr>
        <sz val="10"/>
        <rFont val="WenQuanYi Zen Hei"/>
        <family val="2"/>
      </rPr>
      <t xml:space="preserve">振込漏れ（少額）。承認</t>
    </r>
    <r>
      <rPr>
        <sz val="10"/>
        <rFont val="Arial"/>
        <family val="0"/>
        <charset val="1"/>
      </rPr>
      <t xml:space="preserve">2025/8/10</t>
    </r>
    <r>
      <rPr>
        <sz val="10"/>
        <rFont val="WenQuanYi Zen Hei"/>
        <family val="2"/>
      </rPr>
      <t xml:space="preserve">に対し完了日</t>
    </r>
    <r>
      <rPr>
        <sz val="10"/>
        <rFont val="Arial"/>
        <family val="0"/>
        <charset val="1"/>
      </rPr>
      <t xml:space="preserve">2025/6/2</t>
    </r>
    <r>
      <rPr>
        <sz val="10"/>
        <rFont val="WenQuanYi Zen Hei"/>
        <family val="2"/>
      </rPr>
      <t xml:space="preserve">と日付矛盾。</t>
    </r>
  </si>
  <si>
    <t xml:space="preserve">ADO-10</t>
  </si>
  <si>
    <t xml:space="preserve">適時開示漏れ</t>
  </si>
  <si>
    <r>
      <rPr>
        <sz val="10"/>
        <rFont val="WenQuanYi Zen Hei"/>
        <family val="2"/>
      </rPr>
      <t xml:space="preserve">・取締役会の２営業日前に確認時間をスケジュール
・生成</t>
    </r>
    <r>
      <rPr>
        <sz val="10"/>
        <rFont val="Arial"/>
        <family val="0"/>
        <charset val="1"/>
      </rPr>
      <t xml:space="preserve">AI</t>
    </r>
    <r>
      <rPr>
        <sz val="10"/>
        <rFont val="WenQuanYi Zen Hei"/>
        <family val="2"/>
      </rPr>
      <t xml:space="preserve">を用いて、適時開示が必要そうなものがないかを確認（できるかどうか含めてテスト</t>
    </r>
  </si>
  <si>
    <t xml:space="preserve">開示・税務</t>
  </si>
  <si>
    <t xml:space="preserve">★事例⑤</t>
  </si>
  <si>
    <r>
      <rPr>
        <sz val="10"/>
        <rFont val="WenQuanYi Zen Hei"/>
        <family val="2"/>
      </rPr>
      <t xml:space="preserve">借入れの適時開示漏れ（東証指摘）。恒久対応「取締役会</t>
    </r>
    <r>
      <rPr>
        <sz val="10"/>
        <rFont val="Arial"/>
        <family val="0"/>
        <charset val="1"/>
      </rPr>
      <t xml:space="preserve">2</t>
    </r>
    <r>
      <rPr>
        <sz val="10"/>
        <rFont val="WenQuanYi Zen Hei"/>
        <family val="2"/>
      </rPr>
      <t xml:space="preserve">営業日前に確認時間」「生成</t>
    </r>
    <r>
      <rPr>
        <sz val="10"/>
        <rFont val="Arial"/>
        <family val="0"/>
        <charset val="1"/>
      </rPr>
      <t xml:space="preserve">AI</t>
    </r>
    <r>
      <rPr>
        <sz val="10"/>
        <rFont val="WenQuanYi Zen Hei"/>
        <family val="2"/>
      </rPr>
      <t xml:space="preserve">で適時開示要否確認」。カレンダー設定と直近取締役会での確認記録。完了予定</t>
    </r>
    <r>
      <rPr>
        <sz val="10"/>
        <rFont val="Arial"/>
        <family val="0"/>
        <charset val="1"/>
      </rPr>
      <t xml:space="preserve">2025/8/14</t>
    </r>
    <r>
      <rPr>
        <sz val="10"/>
        <rFont val="WenQuanYi Zen Hei"/>
        <family val="2"/>
      </rPr>
      <t xml:space="preserve">に対し完了日なし。</t>
    </r>
  </si>
  <si>
    <t xml:space="preserve">ADO-11</t>
  </si>
  <si>
    <t xml:space="preserve">インターン契約更新漏れ</t>
  </si>
  <si>
    <t xml:space="preserve">契約社員・インターンの管理台帳への記載が漏れないように、入退社チェックリストに当該項目の転記をルール化する。</t>
  </si>
  <si>
    <t xml:space="preserve">入退社・労務手続き</t>
  </si>
  <si>
    <t xml:space="preserve">★事例⑥</t>
  </si>
  <si>
    <r>
      <rPr>
        <sz val="10"/>
        <rFont val="WenQuanYi Zen Hei"/>
        <family val="2"/>
      </rPr>
      <t xml:space="preserve">インターン契約更新漏れ。恒久対応「入退社チェックリストに契約社員・インターン台帳への転記をルール化」。チェックリストの現物。完了予定</t>
    </r>
    <r>
      <rPr>
        <sz val="10"/>
        <rFont val="Arial"/>
        <family val="0"/>
        <charset val="1"/>
      </rPr>
      <t xml:space="preserve">2025/8/20</t>
    </r>
    <r>
      <rPr>
        <sz val="10"/>
        <rFont val="WenQuanYi Zen Hei"/>
        <family val="2"/>
      </rPr>
      <t xml:space="preserve">に対し完了日なし。</t>
    </r>
  </si>
  <si>
    <t xml:space="preserve">ADO-12</t>
  </si>
  <si>
    <t xml:space="preserve">源泉所得税の申告・納付エラー</t>
  </si>
  <si>
    <t xml:space="preserve">金額不明だが、延滞加算税が課される</t>
  </si>
  <si>
    <r>
      <rPr>
        <sz val="10"/>
        <rFont val="WenQuanYi Zen Hei"/>
        <family val="2"/>
      </rPr>
      <t xml:space="preserve">源泉所得税の年月誤りで申告未受理・未納（延滞税）。恒久対応策・承認・期限すべて空欄。</t>
    </r>
    <r>
      <rPr>
        <sz val="10"/>
        <rFont val="Arial"/>
        <family val="0"/>
        <charset val="1"/>
      </rPr>
      <t xml:space="preserve">e-tax</t>
    </r>
    <r>
      <rPr>
        <sz val="10"/>
        <rFont val="WenQuanYi Zen Hei"/>
        <family val="2"/>
      </rPr>
      <t xml:space="preserve">申告後の出金記録照合（毎月</t>
    </r>
    <r>
      <rPr>
        <sz val="10"/>
        <rFont val="Arial"/>
        <family val="0"/>
        <charset val="1"/>
      </rPr>
      <t xml:space="preserve">2</t>
    </r>
    <r>
      <rPr>
        <sz val="10"/>
        <rFont val="WenQuanYi Zen Hei"/>
        <family val="2"/>
      </rPr>
      <t xml:space="preserve">本）の運用があるか。</t>
    </r>
  </si>
  <si>
    <t xml:space="preserve">ADO-13</t>
  </si>
  <si>
    <t xml:space="preserve">口座情報登録ミス</t>
  </si>
  <si>
    <r>
      <rPr>
        <sz val="10"/>
        <rFont val="WenQuanYi Zen Hei"/>
        <family val="2"/>
      </rPr>
      <t xml:space="preserve">対象人数：</t>
    </r>
    <r>
      <rPr>
        <sz val="10"/>
        <rFont val="Arial"/>
        <family val="0"/>
        <charset val="1"/>
      </rPr>
      <t xml:space="preserve">2</t>
    </r>
    <r>
      <rPr>
        <sz val="10"/>
        <rFont val="WenQuanYi Zen Hei"/>
        <family val="2"/>
      </rPr>
      <t xml:space="preserve">名
件数；</t>
    </r>
    <r>
      <rPr>
        <sz val="10"/>
        <rFont val="Arial"/>
        <family val="0"/>
        <charset val="1"/>
      </rPr>
      <t xml:space="preserve">1</t>
    </r>
    <r>
      <rPr>
        <sz val="10"/>
        <rFont val="WenQuanYi Zen Hei"/>
        <family val="2"/>
      </rPr>
      <t xml:space="preserve">件</t>
    </r>
  </si>
  <si>
    <t xml:space="preserve">2262.0</t>
  </si>
  <si>
    <r>
      <rPr>
        <sz val="10"/>
        <rFont val="WenQuanYi Zen Hei"/>
        <family val="2"/>
      </rPr>
      <t xml:space="preserve">ダブルチェックを徹底します。
現状は
・プリントアウトしたものにチェックして欲しい方には印をつける
・</t>
    </r>
    <r>
      <rPr>
        <sz val="10"/>
        <rFont val="Arial"/>
        <family val="0"/>
        <charset val="1"/>
      </rPr>
      <t xml:space="preserve">slack</t>
    </r>
    <r>
      <rPr>
        <sz val="10"/>
        <rFont val="WenQuanYi Zen Hei"/>
        <family val="2"/>
      </rPr>
      <t xml:space="preserve">でお伝えし、可能な限り口頭でも伝える
・ダブルチェックを依頼するために</t>
    </r>
    <r>
      <rPr>
        <sz val="10"/>
        <rFont val="Arial"/>
        <family val="0"/>
        <charset val="1"/>
      </rPr>
      <t xml:space="preserve">shuzo</t>
    </r>
    <r>
      <rPr>
        <sz val="10"/>
        <rFont val="WenQuanYi Zen Hei"/>
        <family val="2"/>
      </rPr>
      <t xml:space="preserve">さんにお渡しする前にデスクに置き
チェック依頼をしていました。
ーーーーーーーーーーーーーーー
今後は入口の部分であるマスター登録のチェックの強化をします。
財務以外のメンバー</t>
    </r>
    <r>
      <rPr>
        <sz val="10"/>
        <rFont val="Arial"/>
        <family val="0"/>
        <charset val="1"/>
      </rPr>
      <t xml:space="preserve">(</t>
    </r>
    <r>
      <rPr>
        <sz val="10"/>
        <rFont val="WenQuanYi Zen Hei"/>
        <family val="2"/>
      </rPr>
      <t xml:space="preserve">経理</t>
    </r>
    <r>
      <rPr>
        <sz val="10"/>
        <rFont val="Arial"/>
        <family val="0"/>
        <charset val="1"/>
      </rPr>
      <t xml:space="preserve">)</t>
    </r>
    <r>
      <rPr>
        <sz val="10"/>
        <rFont val="WenQuanYi Zen Hei"/>
        <family val="2"/>
      </rPr>
      <t xml:space="preserve">にも以下をチェックしてもらってから登録するようにします。
・マスター番号
・口座情報
※外国籍の方の場合は特に登録時のチェックをトリプルチェックにして強化するよう注意します</t>
    </r>
  </si>
  <si>
    <t xml:space="preserve">口座登録ミスによる誤送金。恒久対応「マスター登録を経理もチェック、外国籍はトリプルチェック」。承認者・承認日・期限すべて空欄。</t>
  </si>
  <si>
    <t xml:space="preserve">ADO-14</t>
  </si>
  <si>
    <t xml:space="preserve">最初に更新できなかった日</t>
  </si>
  <si>
    <t xml:space="preserve">スタイリストさん契約更新漏れ</t>
  </si>
  <si>
    <r>
      <rPr>
        <sz val="10"/>
        <rFont val="WenQuanYi Zen Hei"/>
        <family val="2"/>
      </rPr>
      <t xml:space="preserve">スタイリスト：</t>
    </r>
    <r>
      <rPr>
        <sz val="10"/>
        <rFont val="Arial"/>
        <family val="0"/>
        <charset val="1"/>
      </rPr>
      <t xml:space="preserve">8</t>
    </r>
    <r>
      <rPr>
        <sz val="10"/>
        <rFont val="WenQuanYi Zen Hei"/>
        <family val="2"/>
      </rPr>
      <t xml:space="preserve">人</t>
    </r>
  </si>
  <si>
    <t xml:space="preserve">0.0</t>
  </si>
  <si>
    <r>
      <rPr>
        <sz val="10"/>
        <rFont val="WenQuanYi Zen Hei"/>
        <family val="2"/>
      </rPr>
      <t xml:space="preserve">①最終版を</t>
    </r>
    <r>
      <rPr>
        <sz val="10"/>
        <rFont val="Arial"/>
        <family val="0"/>
        <charset val="1"/>
      </rPr>
      <t xml:space="preserve">JOBCAN</t>
    </r>
    <r>
      <rPr>
        <sz val="10"/>
        <rFont val="WenQuanYi Zen Hei"/>
        <family val="2"/>
      </rPr>
      <t xml:space="preserve">に添付することを徹底する。現状では法務依頼は一元化されて管理されているため、チームとして結果を確認している。
②月次で電子契約が網羅的に台帳に記載されていることを確認するフローを入れる。
③今回のインシデントと直接は関係無いが、契約書台帳の区分を、①ひな型による契約（自動更新有り）、②ひな型による契約（自動更新無し）、③その他契約、に分けて管理し、②③は契約満了時点で</t>
    </r>
    <r>
      <rPr>
        <sz val="10"/>
        <rFont val="Arial"/>
        <family val="0"/>
        <charset val="1"/>
      </rPr>
      <t xml:space="preserve">Bot</t>
    </r>
    <r>
      <rPr>
        <sz val="10"/>
        <rFont val="WenQuanYi Zen Hei"/>
        <family val="2"/>
      </rPr>
      <t xml:space="preserve">でアラートが鳴る仕組みを改めて作る。</t>
    </r>
  </si>
  <si>
    <t xml:space="preserve">契約更新・稟議</t>
  </si>
  <si>
    <t xml:space="preserve">★事例③</t>
  </si>
  <si>
    <r>
      <rPr>
        <sz val="10"/>
        <rFont val="WenQuanYi Zen Hei"/>
        <family val="2"/>
      </rPr>
      <t xml:space="preserve">スタイリスト</t>
    </r>
    <r>
      <rPr>
        <sz val="10"/>
        <rFont val="Arial"/>
        <family val="0"/>
        <charset val="1"/>
      </rPr>
      <t xml:space="preserve">8</t>
    </r>
    <r>
      <rPr>
        <sz val="10"/>
        <rFont val="WenQuanYi Zen Hei"/>
        <family val="2"/>
      </rPr>
      <t xml:space="preserve">名の契約更新漏れ。恒久対応（別シート</t>
    </r>
    <r>
      <rPr>
        <sz val="10"/>
        <rFont val="Arial"/>
        <family val="0"/>
        <charset val="1"/>
      </rPr>
      <t xml:space="preserve">No14</t>
    </r>
    <r>
      <rPr>
        <sz val="10"/>
        <rFont val="WenQuanYi Zen Hei"/>
        <family val="2"/>
      </rPr>
      <t xml:space="preserve">）①最終版を</t>
    </r>
    <r>
      <rPr>
        <sz val="10"/>
        <rFont val="Arial"/>
        <family val="0"/>
        <charset val="1"/>
      </rPr>
      <t xml:space="preserve">JOBCAN</t>
    </r>
    <r>
      <rPr>
        <sz val="10"/>
        <rFont val="WenQuanYi Zen Hei"/>
        <family val="2"/>
      </rPr>
      <t xml:space="preserve">に添付の徹底 ②月次で電子契約の台帳網羅性確認 ③台帳区分と</t>
    </r>
    <r>
      <rPr>
        <sz val="10"/>
        <rFont val="Arial"/>
        <family val="0"/>
        <charset val="1"/>
      </rPr>
      <t xml:space="preserve">Bot</t>
    </r>
    <r>
      <rPr>
        <sz val="10"/>
        <rFont val="WenQuanYi Zen Hei"/>
        <family val="2"/>
      </rPr>
      <t xml:space="preserve">アラート再構築。承認者</t>
    </r>
    <r>
      <rPr>
        <sz val="10"/>
        <rFont val="Arial"/>
        <family val="0"/>
        <charset val="1"/>
      </rPr>
      <t xml:space="preserve">shuzo</t>
    </r>
    <r>
      <rPr>
        <sz val="10"/>
        <rFont val="WenQuanYi Zen Hei"/>
        <family val="2"/>
      </rPr>
      <t xml:space="preserve">のみで承認日・期限・完了なし。②③の実装有無を確認。</t>
    </r>
  </si>
  <si>
    <t xml:space="preserve">ADO-15</t>
  </si>
  <si>
    <t xml:space="preserve">交通費連携ミス</t>
  </si>
  <si>
    <t xml:space="preserve">7140.0</t>
  </si>
  <si>
    <r>
      <rPr>
        <sz val="10"/>
        <rFont val="WenQuanYi Zen Hei"/>
        <family val="2"/>
      </rPr>
      <t xml:space="preserve">ダブルチェックの徹底
現状は</t>
    </r>
    <r>
      <rPr>
        <sz val="10"/>
        <rFont val="Arial"/>
        <family val="0"/>
        <charset val="1"/>
      </rPr>
      <t xml:space="preserve">kyonkyon</t>
    </r>
    <r>
      <rPr>
        <sz val="10"/>
        <rFont val="WenQuanYi Zen Hei"/>
        <family val="2"/>
      </rPr>
      <t xml:space="preserve">さんのみのチェック。今後は</t>
    </r>
    <r>
      <rPr>
        <sz val="10"/>
        <rFont val="Arial"/>
        <family val="0"/>
        <charset val="1"/>
      </rPr>
      <t xml:space="preserve">shuzo</t>
    </r>
    <r>
      <rPr>
        <sz val="10"/>
        <rFont val="WenQuanYi Zen Hei"/>
        <family val="2"/>
      </rPr>
      <t xml:space="preserve">さんにもダブルチェックを依頼します。
その際に、今後は修正一覧表に起票し、ミスが起こりやすい部分を認識することにより、さらに注意して確認をしていきます。
修正一覧表</t>
    </r>
  </si>
  <si>
    <t xml:space="preserve">makkkiy</t>
  </si>
  <si>
    <r>
      <rPr>
        <sz val="10"/>
        <rFont val="WenQuanYi Zen Hei"/>
        <family val="2"/>
      </rPr>
      <t xml:space="preserve">交通費連携ミス（定期</t>
    </r>
    <r>
      <rPr>
        <sz val="10"/>
        <rFont val="Arial"/>
        <family val="0"/>
        <charset val="1"/>
      </rPr>
      <t xml:space="preserve">2</t>
    </r>
    <r>
      <rPr>
        <sz val="10"/>
        <rFont val="WenQuanYi Zen Hei"/>
        <family val="2"/>
      </rPr>
      <t xml:space="preserve">つのうち</t>
    </r>
    <r>
      <rPr>
        <sz val="10"/>
        <rFont val="Arial"/>
        <family val="0"/>
        <charset val="1"/>
      </rPr>
      <t xml:space="preserve">1</t>
    </r>
    <r>
      <rPr>
        <sz val="10"/>
        <rFont val="WenQuanYi Zen Hei"/>
        <family val="2"/>
      </rPr>
      <t xml:space="preserve">つ）。恒久対応「</t>
    </r>
    <r>
      <rPr>
        <sz val="10"/>
        <rFont val="Arial"/>
        <family val="0"/>
        <charset val="1"/>
      </rPr>
      <t xml:space="preserve">shuzo</t>
    </r>
    <r>
      <rPr>
        <sz val="10"/>
        <rFont val="WenQuanYi Zen Hei"/>
        <family val="2"/>
      </rPr>
      <t xml:space="preserve">にも</t>
    </r>
    <r>
      <rPr>
        <sz val="10"/>
        <rFont val="Arial"/>
        <family val="0"/>
        <charset val="1"/>
      </rPr>
      <t xml:space="preserve">W</t>
    </r>
    <r>
      <rPr>
        <sz val="10"/>
        <rFont val="WenQuanYi Zen Hei"/>
        <family val="2"/>
      </rPr>
      <t xml:space="preserve">チェック依頼・修正一覧表」。承認・期限なし。</t>
    </r>
  </si>
  <si>
    <t xml:space="preserve">ADO-16</t>
  </si>
  <si>
    <t xml:space="preserve">取引先への支払い漏れ</t>
  </si>
  <si>
    <t xml:space="preserve">83160.0</t>
  </si>
  <si>
    <r>
      <rPr>
        <sz val="10"/>
        <rFont val="WenQuanYi Zen Hei"/>
        <family val="2"/>
      </rPr>
      <t xml:space="preserve">・請求書送信先を法務の</t>
    </r>
    <r>
      <rPr>
        <sz val="10"/>
        <rFont val="Arial"/>
        <family val="0"/>
        <charset val="1"/>
      </rPr>
      <t xml:space="preserve">ML</t>
    </r>
    <r>
      <rPr>
        <sz val="10"/>
        <rFont val="WenQuanYi Zen Hei"/>
        <family val="2"/>
      </rPr>
      <t xml:space="preserve">の設定する
・支払い依頼管理表に追記する</t>
    </r>
  </si>
  <si>
    <t xml:space="preserve">半期に一度の請求等でも、支払い依頼管理表に記載されているものについては請求漏れを防げており、本件についても管理表に記載があれば防げたと考えられるため。</t>
  </si>
  <si>
    <t xml:space="preserve">年払い請求の支払漏れ。支払依頼管理表への追記で防げる設計。承認日・期限・完了なし。起票者が倉石のため森本が確認。</t>
  </si>
  <si>
    <t xml:space="preserve">ADO-17</t>
  </si>
  <si>
    <t xml:space="preserve">2237268.0</t>
  </si>
  <si>
    <t xml:space="preserve">支払管理レポートと支払依頼の件数チェックを行う。</t>
  </si>
  <si>
    <t xml:space="preserve">支払依頼は各グループから上がってくるため、件数の誤りは発見できる。金額が合っているかは別項目でチェックを行う。</t>
  </si>
  <si>
    <t xml:space="preserve">★事例①</t>
  </si>
  <si>
    <r>
      <rPr>
        <sz val="10"/>
        <rFont val="WenQuanYi Zen Hei"/>
        <family val="2"/>
      </rPr>
      <t xml:space="preserve">日本郵便 </t>
    </r>
    <r>
      <rPr>
        <sz val="10"/>
        <rFont val="Arial"/>
        <family val="0"/>
        <charset val="1"/>
      </rPr>
      <t xml:space="preserve">224</t>
    </r>
    <r>
      <rPr>
        <sz val="10"/>
        <rFont val="WenQuanYi Zen Hei"/>
        <family val="2"/>
      </rPr>
      <t xml:space="preserve">万円の支払漏れ。恒久対応「支払管理レポートと支払依頼の件数チェック」が毎月実施されているか（チェック記録）。</t>
    </r>
    <r>
      <rPr>
        <sz val="10"/>
        <rFont val="Arial"/>
        <family val="0"/>
        <charset val="1"/>
      </rPr>
      <t xml:space="preserve">freee</t>
    </r>
    <r>
      <rPr>
        <sz val="10"/>
        <rFont val="WenQuanYi Zen Hei"/>
        <family val="2"/>
      </rPr>
      <t xml:space="preserve">の仮申請→差替のステータス運用ルール。</t>
    </r>
  </si>
  <si>
    <t xml:space="preserve">ADO-18</t>
  </si>
  <si>
    <r>
      <rPr>
        <sz val="10"/>
        <rFont val="WenQuanYi Zen Hei"/>
        <family val="2"/>
      </rPr>
      <t xml:space="preserve">対象人数：</t>
    </r>
    <r>
      <rPr>
        <sz val="10"/>
        <rFont val="Arial"/>
        <family val="0"/>
        <charset val="1"/>
      </rPr>
      <t xml:space="preserve">1</t>
    </r>
    <r>
      <rPr>
        <sz val="10"/>
        <rFont val="WenQuanYi Zen Hei"/>
        <family val="2"/>
      </rPr>
      <t xml:space="preserve">名</t>
    </r>
  </si>
  <si>
    <t xml:space="preserve">6350.0</t>
  </si>
  <si>
    <r>
      <rPr>
        <sz val="10"/>
        <rFont val="WenQuanYi Zen Hei"/>
        <family val="2"/>
      </rPr>
      <t xml:space="preserve">今後はすべて</t>
    </r>
    <r>
      <rPr>
        <sz val="10"/>
        <rFont val="Arial"/>
        <family val="0"/>
        <charset val="1"/>
      </rPr>
      <t xml:space="preserve">SmartHR</t>
    </r>
    <r>
      <rPr>
        <sz val="10"/>
        <rFont val="WenQuanYi Zen Hei"/>
        <family val="2"/>
      </rPr>
      <t xml:space="preserve">経由で交通費変更申請をお願いする。
今回のような料金改定により、大人数の変更が発生した際は必ず全員分をまとめて起票する。</t>
    </r>
  </si>
  <si>
    <r>
      <rPr>
        <sz val="10"/>
        <rFont val="WenQuanYi Zen Hei"/>
        <family val="2"/>
      </rPr>
      <t xml:space="preserve">交通費連携ミス（運賃改定）。恒久対応「</t>
    </r>
    <r>
      <rPr>
        <sz val="10"/>
        <rFont val="Arial"/>
        <family val="0"/>
        <charset val="1"/>
      </rPr>
      <t xml:space="preserve">SmartHR</t>
    </r>
    <r>
      <rPr>
        <sz val="10"/>
        <rFont val="WenQuanYi Zen Hei"/>
        <family val="2"/>
      </rPr>
      <t xml:space="preserve">経由に統一」。完了</t>
    </r>
    <r>
      <rPr>
        <sz val="10"/>
        <rFont val="Arial"/>
        <family val="0"/>
        <charset val="1"/>
      </rPr>
      <t xml:space="preserve">2026/4/30</t>
    </r>
    <r>
      <rPr>
        <sz val="10"/>
        <rFont val="WenQuanYi Zen Hei"/>
        <family val="2"/>
      </rPr>
      <t xml:space="preserve">。</t>
    </r>
    <r>
      <rPr>
        <sz val="10"/>
        <rFont val="Arial"/>
        <family val="0"/>
        <charset val="1"/>
      </rPr>
      <t xml:space="preserve">#15</t>
    </r>
    <r>
      <rPr>
        <sz val="10"/>
        <rFont val="WenQuanYi Zen Hei"/>
        <family val="2"/>
      </rPr>
      <t xml:space="preserve">と同型。</t>
    </r>
  </si>
  <si>
    <t xml:space="preserve">ADO-19</t>
  </si>
  <si>
    <t xml:space="preserve">取引先への過重支払</t>
  </si>
  <si>
    <r>
      <rPr>
        <sz val="10"/>
        <rFont val="Arial"/>
        <family val="0"/>
        <charset val="1"/>
      </rPr>
      <t xml:space="preserve">1,532,540 </t>
    </r>
    <r>
      <rPr>
        <sz val="10"/>
        <rFont val="WenQuanYi Zen Hei"/>
        <family val="2"/>
      </rPr>
      <t xml:space="preserve">円</t>
    </r>
  </si>
  <si>
    <r>
      <rPr>
        <sz val="10"/>
        <rFont val="WenQuanYi Zen Hei"/>
        <family val="2"/>
      </rPr>
      <t xml:space="preserve">・最終版の請求書と支払依頼書の</t>
    </r>
    <r>
      <rPr>
        <sz val="10"/>
        <rFont val="Arial"/>
        <family val="0"/>
        <charset val="1"/>
      </rPr>
      <t xml:space="preserve">W</t>
    </r>
    <r>
      <rPr>
        <sz val="10"/>
        <rFont val="WenQuanYi Zen Hei"/>
        <family val="2"/>
      </rPr>
      <t xml:space="preserve">チェックを行う。
・</t>
    </r>
    <r>
      <rPr>
        <sz val="10"/>
        <rFont val="Arial"/>
        <family val="0"/>
        <charset val="1"/>
      </rPr>
      <t xml:space="preserve">AI</t>
    </r>
    <r>
      <rPr>
        <sz val="10"/>
        <rFont val="WenQuanYi Zen Hei"/>
        <family val="2"/>
      </rPr>
      <t xml:space="preserve">チェックを進めるが、それが完成するまでは</t>
    </r>
    <r>
      <rPr>
        <sz val="10"/>
        <rFont val="Arial"/>
        <family val="0"/>
        <charset val="1"/>
      </rPr>
      <t xml:space="preserve">shuzo</t>
    </r>
    <r>
      <rPr>
        <sz val="10"/>
        <rFont val="WenQuanYi Zen Hei"/>
        <family val="2"/>
      </rPr>
      <t xml:space="preserve">がトリプルチェックを実施する。</t>
    </r>
  </si>
  <si>
    <r>
      <rPr>
        <sz val="10"/>
        <rFont val="WenQuanYi Zen Hei"/>
        <family val="2"/>
      </rPr>
      <t xml:space="preserve">修正したあとの支払依頼も</t>
    </r>
    <r>
      <rPr>
        <sz val="10"/>
        <rFont val="Arial"/>
        <family val="0"/>
        <charset val="1"/>
      </rPr>
      <t xml:space="preserve">W</t>
    </r>
    <r>
      <rPr>
        <sz val="10"/>
        <rFont val="WenQuanYi Zen Hei"/>
        <family val="2"/>
      </rPr>
      <t xml:space="preserve">チェックを行うことにより、再発の防止が見込める。</t>
    </r>
    <r>
      <rPr>
        <sz val="10"/>
        <rFont val="Arial"/>
        <family val="0"/>
        <charset val="1"/>
      </rPr>
      <t xml:space="preserve">AI</t>
    </r>
    <r>
      <rPr>
        <sz val="10"/>
        <rFont val="WenQuanYi Zen Hei"/>
        <family val="2"/>
      </rPr>
      <t xml:space="preserve">チェックについても今後進めていき、より精度上げる。</t>
    </r>
  </si>
  <si>
    <r>
      <rPr>
        <sz val="10"/>
        <rFont val="WenQuanYi Zen Hei"/>
        <family val="2"/>
      </rPr>
      <t xml:space="preserve">ヤーマン </t>
    </r>
    <r>
      <rPr>
        <sz val="10"/>
        <rFont val="Arial"/>
        <family val="0"/>
        <charset val="1"/>
      </rPr>
      <t xml:space="preserve">153</t>
    </r>
    <r>
      <rPr>
        <sz val="10"/>
        <rFont val="WenQuanYi Zen Hei"/>
        <family val="2"/>
      </rPr>
      <t xml:space="preserve">万円の過重払い。「最終版請求書と支払依頼書の</t>
    </r>
    <r>
      <rPr>
        <sz val="10"/>
        <rFont val="Arial"/>
        <family val="0"/>
        <charset val="1"/>
      </rPr>
      <t xml:space="preserve">W</t>
    </r>
    <r>
      <rPr>
        <sz val="10"/>
        <rFont val="WenQuanYi Zen Hei"/>
        <family val="2"/>
      </rPr>
      <t xml:space="preserve">チェック」「</t>
    </r>
    <r>
      <rPr>
        <sz val="10"/>
        <rFont val="Arial"/>
        <family val="0"/>
        <charset val="1"/>
      </rPr>
      <t xml:space="preserve">AI</t>
    </r>
    <r>
      <rPr>
        <sz val="10"/>
        <rFont val="WenQuanYi Zen Hei"/>
        <family val="2"/>
      </rPr>
      <t xml:space="preserve">チェック完成まで</t>
    </r>
    <r>
      <rPr>
        <sz val="10"/>
        <rFont val="Arial"/>
        <family val="0"/>
        <charset val="1"/>
      </rPr>
      <t xml:space="preserve">shuzo</t>
    </r>
    <r>
      <rPr>
        <sz val="10"/>
        <rFont val="WenQuanYi Zen Hei"/>
        <family val="2"/>
      </rPr>
      <t xml:space="preserve">のトリプルチェック」の実施記録。完了</t>
    </r>
    <r>
      <rPr>
        <sz val="10"/>
        <rFont val="Arial"/>
        <family val="0"/>
        <charset val="1"/>
      </rPr>
      <t xml:space="preserve">2026/5/27</t>
    </r>
    <r>
      <rPr>
        <sz val="10"/>
        <rFont val="WenQuanYi Zen Hei"/>
        <family val="2"/>
      </rPr>
      <t xml:space="preserve">とされるが同種が</t>
    </r>
    <r>
      <rPr>
        <sz val="10"/>
        <rFont val="Arial"/>
        <family val="0"/>
        <charset val="1"/>
      </rPr>
      <t xml:space="preserve">#21</t>
    </r>
    <r>
      <rPr>
        <sz val="10"/>
        <rFont val="WenQuanYi Zen Hei"/>
        <family val="2"/>
      </rPr>
      <t xml:space="preserve">・</t>
    </r>
    <r>
      <rPr>
        <sz val="10"/>
        <rFont val="Arial"/>
        <family val="0"/>
        <charset val="1"/>
      </rPr>
      <t xml:space="preserve">#30</t>
    </r>
    <r>
      <rPr>
        <sz val="10"/>
        <rFont val="WenQuanYi Zen Hei"/>
        <family val="2"/>
      </rPr>
      <t xml:space="preserve">で再発。</t>
    </r>
  </si>
  <si>
    <t xml:space="preserve">ADO-20</t>
  </si>
  <si>
    <t xml:space="preserve">早出残業手当支払いミス</t>
  </si>
  <si>
    <r>
      <rPr>
        <sz val="10"/>
        <rFont val="WenQuanYi Zen Hei"/>
        <family val="2"/>
      </rPr>
      <t xml:space="preserve">対象人数：</t>
    </r>
    <r>
      <rPr>
        <sz val="10"/>
        <rFont val="Arial"/>
        <family val="0"/>
        <charset val="1"/>
      </rPr>
      <t xml:space="preserve">2</t>
    </r>
    <r>
      <rPr>
        <sz val="10"/>
        <rFont val="WenQuanYi Zen Hei"/>
        <family val="2"/>
      </rPr>
      <t xml:space="preserve">名
うち</t>
    </r>
    <r>
      <rPr>
        <sz val="10"/>
        <rFont val="Arial"/>
        <family val="0"/>
        <charset val="1"/>
      </rPr>
      <t xml:space="preserve">1</t>
    </r>
    <r>
      <rPr>
        <sz val="10"/>
        <rFont val="WenQuanYi Zen Hei"/>
        <family val="2"/>
      </rPr>
      <t xml:space="preserve">名については</t>
    </r>
    <r>
      <rPr>
        <sz val="10"/>
        <rFont val="Arial"/>
        <family val="0"/>
        <charset val="1"/>
      </rPr>
      <t xml:space="preserve">2</t>
    </r>
    <r>
      <rPr>
        <sz val="10"/>
        <rFont val="WenQuanYi Zen Hei"/>
        <family val="2"/>
      </rPr>
      <t xml:space="preserve">ヶ月分の修正が必要であったところ、</t>
    </r>
    <r>
      <rPr>
        <sz val="10"/>
        <rFont val="Arial"/>
        <family val="0"/>
        <charset val="1"/>
      </rPr>
      <t xml:space="preserve">1</t>
    </r>
    <r>
      <rPr>
        <sz val="10"/>
        <rFont val="WenQuanYi Zen Hei"/>
        <family val="2"/>
      </rPr>
      <t xml:space="preserve">名分しか修正できていなかったので追加で対応いたし…</t>
    </r>
  </si>
  <si>
    <r>
      <rPr>
        <sz val="10"/>
        <rFont val="Arial"/>
        <family val="0"/>
        <charset val="1"/>
      </rPr>
      <t xml:space="preserve">37,423</t>
    </r>
    <r>
      <rPr>
        <sz val="10"/>
        <rFont val="WenQuanYi Zen Hei"/>
        <family val="2"/>
      </rPr>
      <t xml:space="preserve">円→</t>
    </r>
  </si>
  <si>
    <t xml:space="preserve">・みなし残業時間を関数に組み込むのではなく、別の列に時間数を入力しておき、関数がその列の値を参照する形式に修正する
・関数に誤りがないかをチェックする</t>
  </si>
  <si>
    <r>
      <rPr>
        <sz val="10"/>
        <rFont val="WenQuanYi Zen Hei"/>
        <family val="2"/>
      </rPr>
      <t xml:space="preserve">みなし残業時間が</t>
    </r>
    <r>
      <rPr>
        <sz val="10"/>
        <rFont val="Arial"/>
        <family val="0"/>
        <charset val="1"/>
      </rPr>
      <t xml:space="preserve">45</t>
    </r>
    <r>
      <rPr>
        <sz val="10"/>
        <rFont val="WenQuanYi Zen Hei"/>
        <family val="2"/>
      </rPr>
      <t xml:space="preserve">時間以外のメンバーはほぼいないので、これでチェックできると考えております。</t>
    </r>
  </si>
  <si>
    <r>
      <rPr>
        <sz val="10"/>
        <rFont val="WenQuanYi Zen Hei"/>
        <family val="2"/>
      </rPr>
      <t xml:space="preserve">早出残業手当の誤支給。恒久対応「みなし残業時間を別列に入力し関数が参照する形式に修正」。修正後のシート現物。完了予定</t>
    </r>
    <r>
      <rPr>
        <sz val="10"/>
        <rFont val="Arial"/>
        <family val="0"/>
        <charset val="1"/>
      </rPr>
      <t xml:space="preserve">2026/6/3</t>
    </r>
    <r>
      <rPr>
        <sz val="10"/>
        <rFont val="WenQuanYi Zen Hei"/>
        <family val="2"/>
      </rPr>
      <t xml:space="preserve">に対し完了日なし。</t>
    </r>
  </si>
  <si>
    <t xml:space="preserve">ADO-21</t>
  </si>
  <si>
    <r>
      <rPr>
        <sz val="10"/>
        <rFont val="Arial"/>
        <family val="0"/>
        <charset val="1"/>
      </rPr>
      <t xml:space="preserve">956,111</t>
    </r>
    <r>
      <rPr>
        <sz val="10"/>
        <rFont val="WenQuanYi Zen Hei"/>
        <family val="2"/>
      </rPr>
      <t xml:space="preserve">円</t>
    </r>
  </si>
  <si>
    <r>
      <rPr>
        <sz val="10"/>
        <rFont val="WenQuanYi Zen Hei"/>
        <family val="2"/>
      </rPr>
      <t xml:space="preserve">①支払依頼の仮申請と差替後の金額に１００万円以上の差異がある場合は差異を自動で検知し、担当者及び上長スラックで連絡を行う。
②請求書と支払金額のチェック</t>
    </r>
    <r>
      <rPr>
        <sz val="10"/>
        <rFont val="Arial"/>
        <family val="0"/>
        <charset val="1"/>
      </rPr>
      <t xml:space="preserve">AI</t>
    </r>
    <r>
      <rPr>
        <sz val="10"/>
        <rFont val="WenQuanYi Zen Hei"/>
        <family val="2"/>
      </rPr>
      <t xml:space="preserve">の機能に金額の重複を検知を追加する。</t>
    </r>
  </si>
  <si>
    <r>
      <rPr>
        <sz val="10"/>
        <rFont val="WenQuanYi Zen Hei"/>
        <family val="2"/>
      </rPr>
      <t xml:space="preserve">①現状では仮申請と差し替えの金額に乖離があっても上長に承認が入らない状態になっているが、この対策により上長への確認も可能になる。
②</t>
    </r>
    <r>
      <rPr>
        <sz val="10"/>
        <rFont val="Arial"/>
        <family val="0"/>
        <charset val="1"/>
      </rPr>
      <t xml:space="preserve">AI</t>
    </r>
    <r>
      <rPr>
        <sz val="10"/>
        <rFont val="WenQuanYi Zen Hei"/>
        <family val="2"/>
      </rPr>
      <t xml:space="preserve">チェックの仕組みはすでにできており、精度確認済みのため、対策として有用であると考える。</t>
    </r>
  </si>
  <si>
    <r>
      <rPr>
        <sz val="10"/>
        <rFont val="WenQuanYi Zen Hei"/>
        <family val="2"/>
      </rPr>
      <t xml:space="preserve">クラスメソッド </t>
    </r>
    <r>
      <rPr>
        <sz val="10"/>
        <rFont val="Arial"/>
        <family val="0"/>
        <charset val="1"/>
      </rPr>
      <t xml:space="preserve">96</t>
    </r>
    <r>
      <rPr>
        <sz val="10"/>
        <rFont val="WenQuanYi Zen Hei"/>
        <family val="2"/>
      </rPr>
      <t xml:space="preserve">万円の過重払い。恒久対応①「仮申請と差替後の金額差</t>
    </r>
    <r>
      <rPr>
        <sz val="10"/>
        <rFont val="Arial"/>
        <family val="0"/>
        <charset val="1"/>
      </rPr>
      <t xml:space="preserve">100</t>
    </r>
    <r>
      <rPr>
        <sz val="10"/>
        <rFont val="WenQuanYi Zen Hei"/>
        <family val="2"/>
      </rPr>
      <t xml:space="preserve">万円以上を自動検知し</t>
    </r>
    <r>
      <rPr>
        <sz val="10"/>
        <rFont val="Arial"/>
        <family val="0"/>
        <charset val="1"/>
      </rPr>
      <t xml:space="preserve">Slack</t>
    </r>
    <r>
      <rPr>
        <sz val="10"/>
        <rFont val="WenQuanYi Zen Hei"/>
        <family val="2"/>
      </rPr>
      <t xml:space="preserve">通知」②「</t>
    </r>
    <r>
      <rPr>
        <sz val="10"/>
        <rFont val="Arial"/>
        <family val="0"/>
        <charset val="1"/>
      </rPr>
      <t xml:space="preserve">AI</t>
    </r>
    <r>
      <rPr>
        <sz val="10"/>
        <rFont val="WenQuanYi Zen Hei"/>
        <family val="2"/>
      </rPr>
      <t xml:space="preserve">チェックに重複検知を追加」が実装されているか現物（設定・通知例）で確認。完了</t>
    </r>
    <r>
      <rPr>
        <sz val="10"/>
        <rFont val="Arial"/>
        <family val="0"/>
        <charset val="1"/>
      </rPr>
      <t xml:space="preserve">2026/6/16</t>
    </r>
    <r>
      <rPr>
        <sz val="10"/>
        <rFont val="WenQuanYi Zen Hei"/>
        <family val="2"/>
      </rPr>
      <t xml:space="preserve">。</t>
    </r>
  </si>
  <si>
    <t xml:space="preserve">ADO-22</t>
  </si>
  <si>
    <t xml:space="preserve">控除ミス</t>
  </si>
  <si>
    <t xml:space="preserve">9847.0</t>
  </si>
  <si>
    <r>
      <rPr>
        <sz val="10"/>
        <rFont val="WenQuanYi Zen Hei"/>
        <family val="2"/>
      </rPr>
      <t xml:space="preserve">イレギュラー支払のチェックリストを作成し、給与がマイナスだった場合を項目の一つとし、毎月チェックする。
チェックリスト：</t>
    </r>
    <r>
      <rPr>
        <sz val="10"/>
        <rFont val="Arial"/>
        <family val="0"/>
        <charset val="1"/>
      </rPr>
      <t xml:space="preserve">https://docs.google.com/spreadsheets/d/1CPuUv7pODQ_Fy_WBsyozJpzuv5dJxr_zMwXq2KmcZHc/edit?gid=1699869831#gid=1699869831</t>
    </r>
  </si>
  <si>
    <t xml:space="preserve">チェックリストを作成・運用したことで、今回の事象に加え、過去に発生した同様のイレギュラーケースについても確認できる体制を整備しました。
ただ、イレギュラーは他にもあるため、今回のケースはこれで問題無いと考えているが、その他のイレギュラーが発生した際には随時更新する必要がある。</t>
  </si>
  <si>
    <r>
      <rPr>
        <sz val="10"/>
        <rFont val="WenQuanYi Zen Hei"/>
        <family val="2"/>
      </rPr>
      <t xml:space="preserve">社保控除で給与マイナス時の立替控除漏れ。恒久対応「イレギュラー支払チェックリストを毎月チェック」。チェックリストの現物と直近月の実施記録。完了</t>
    </r>
    <r>
      <rPr>
        <sz val="10"/>
        <rFont val="Arial"/>
        <family val="0"/>
        <charset val="1"/>
      </rPr>
      <t xml:space="preserve">2026/6/19</t>
    </r>
    <r>
      <rPr>
        <sz val="10"/>
        <rFont val="WenQuanYi Zen Hei"/>
        <family val="2"/>
      </rPr>
      <t xml:space="preserve">。</t>
    </r>
  </si>
  <si>
    <t xml:space="preserve">ADO-23</t>
  </si>
  <si>
    <t xml:space="preserve">銀行との契約上の遵守事項への違反</t>
  </si>
  <si>
    <t xml:space="preserve">現状無し</t>
  </si>
  <si>
    <r>
      <rPr>
        <sz val="10"/>
        <rFont val="WenQuanYi Zen Hei"/>
        <family val="2"/>
      </rPr>
      <t xml:space="preserve">・金融機関様との契約書を一度全て洗い出して、他にもこういった条件が無いかを改めて確認する。
・毎月資金繰りの確認時（現状月に</t>
    </r>
    <r>
      <rPr>
        <sz val="10"/>
        <rFont val="Arial"/>
        <family val="0"/>
        <charset val="1"/>
      </rPr>
      <t xml:space="preserve">2</t>
    </r>
    <r>
      <rPr>
        <sz val="10"/>
        <rFont val="WenQuanYi Zen Hei"/>
        <family val="2"/>
      </rPr>
      <t xml:space="preserve">回実施している）に、当該条件への遵守事項を確認する。</t>
    </r>
  </si>
  <si>
    <t xml:space="preserve">確認ポイントが明確であれば次回以降発生しないと考えております。</t>
  </si>
  <si>
    <r>
      <rPr>
        <sz val="10"/>
        <rFont val="WenQuanYi Zen Hei"/>
        <family val="2"/>
      </rPr>
      <t xml:space="preserve">みずほ銀行の遵守事項（月末預金残高≧融資残高）違反。恒久対応「金融機関契約の全件洗い出し」「月</t>
    </r>
    <r>
      <rPr>
        <sz val="10"/>
        <rFont val="Arial"/>
        <family val="0"/>
        <charset val="1"/>
      </rPr>
      <t xml:space="preserve">2</t>
    </r>
    <r>
      <rPr>
        <sz val="10"/>
        <rFont val="WenQuanYi Zen Hei"/>
        <family val="2"/>
      </rPr>
      <t xml:space="preserve">回の資金繰り確認時に遵守事項を確認」。洗い出し結果の一覧と確認記録の現物。取締役会・監査役への報告有無。承認</t>
    </r>
    <r>
      <rPr>
        <sz val="10"/>
        <rFont val="Arial"/>
        <family val="0"/>
        <charset val="1"/>
      </rPr>
      <t xml:space="preserve">2026/6/19</t>
    </r>
    <r>
      <rPr>
        <sz val="10"/>
        <rFont val="WenQuanYi Zen Hei"/>
        <family val="2"/>
      </rPr>
      <t xml:space="preserve">、完了日なし。</t>
    </r>
  </si>
  <si>
    <t xml:space="preserve">ADO-24</t>
  </si>
  <si>
    <r>
      <rPr>
        <sz val="10"/>
        <rFont val="Arial"/>
        <family val="0"/>
        <charset val="1"/>
      </rPr>
      <t xml:space="preserve">Meta</t>
    </r>
    <r>
      <rPr>
        <sz val="10"/>
        <rFont val="WenQuanYi Zen Hei"/>
        <family val="2"/>
      </rPr>
      <t xml:space="preserve">社広告費の消費税区分誤りに伴う費用計上漏れ</t>
    </r>
  </si>
  <si>
    <r>
      <rPr>
        <sz val="10"/>
        <rFont val="WenQuanYi Zen Hei"/>
        <family val="2"/>
      </rPr>
      <t xml:space="preserve">約</t>
    </r>
    <r>
      <rPr>
        <sz val="10"/>
        <rFont val="Arial"/>
        <family val="0"/>
        <charset val="1"/>
      </rPr>
      <t xml:space="preserve">17</t>
    </r>
    <r>
      <rPr>
        <sz val="10"/>
        <rFont val="WenQuanYi Zen Hei"/>
        <family val="2"/>
      </rPr>
      <t xml:space="preserve">百万円のコスト計上の増加。</t>
    </r>
  </si>
  <si>
    <t xml:space="preserve">同左</t>
  </si>
  <si>
    <r>
      <rPr>
        <sz val="10"/>
        <rFont val="WenQuanYi Zen Hei"/>
        <family val="2"/>
      </rPr>
      <t xml:space="preserve">請求書の</t>
    </r>
    <r>
      <rPr>
        <sz val="10"/>
        <rFont val="Arial"/>
        <family val="0"/>
        <charset val="1"/>
      </rPr>
      <t xml:space="preserve">AI</t>
    </r>
    <r>
      <rPr>
        <sz val="10"/>
        <rFont val="WenQuanYi Zen Hei"/>
        <family val="2"/>
      </rPr>
      <t xml:space="preserve">チェック機能に、以下の確認項目を追加します。
・会計上の税区分と、請求書に記載された消費税・適格請求書発行事業者登録番号との整合性
・適格請求書の要件を満たしていない請求書に、仕入税額控除を行う税区分が設定されていないか
不整合が検出された場合は、会計処理を確定する前にエラーまたは警告を表示し、経理担当者が税区分を再確認する運用とします。</t>
    </r>
  </si>
  <si>
    <r>
      <rPr>
        <sz val="10"/>
        <rFont val="WenQuanYi Zen Hei"/>
        <family val="2"/>
      </rPr>
      <t xml:space="preserve">インボイスの要件は明確なため、</t>
    </r>
    <r>
      <rPr>
        <sz val="10"/>
        <rFont val="Arial"/>
        <family val="0"/>
        <charset val="1"/>
      </rPr>
      <t xml:space="preserve">AI</t>
    </r>
    <r>
      <rPr>
        <sz val="10"/>
        <rFont val="WenQuanYi Zen Hei"/>
        <family val="2"/>
      </rPr>
      <t xml:space="preserve">チェックの相性は良いと考えています。</t>
    </r>
  </si>
  <si>
    <r>
      <rPr>
        <sz val="10"/>
        <rFont val="Arial"/>
        <family val="0"/>
        <charset val="1"/>
      </rPr>
      <t xml:space="preserve">Meta</t>
    </r>
    <r>
      <rPr>
        <sz val="10"/>
        <rFont val="WenQuanYi Zen Hei"/>
        <family val="2"/>
      </rPr>
      <t xml:space="preserve">広告費の消費税区分誤り。恒久対応「請求書</t>
    </r>
    <r>
      <rPr>
        <sz val="10"/>
        <rFont val="Arial"/>
        <family val="0"/>
        <charset val="1"/>
      </rPr>
      <t xml:space="preserve">AI</t>
    </r>
    <r>
      <rPr>
        <sz val="10"/>
        <rFont val="WenQuanYi Zen Hei"/>
        <family val="2"/>
      </rPr>
      <t xml:space="preserve">チェックに税区分・インボイス整合性の確認を追加」。完了予定</t>
    </r>
    <r>
      <rPr>
        <sz val="10"/>
        <rFont val="Arial"/>
        <family val="0"/>
        <charset val="1"/>
      </rPr>
      <t xml:space="preserve">2026/7/31</t>
    </r>
    <r>
      <rPr>
        <sz val="10"/>
        <rFont val="WenQuanYi Zen Hei"/>
        <family val="2"/>
      </rPr>
      <t xml:space="preserve">に対し完了日なし。実装の有無。</t>
    </r>
  </si>
  <si>
    <t xml:space="preserve">ADO-25</t>
  </si>
  <si>
    <t xml:space="preserve">ジョブカン承認前に契約締結を実施してしまった</t>
  </si>
  <si>
    <t xml:space="preserve">１社</t>
  </si>
  <si>
    <r>
      <rPr>
        <sz val="10"/>
        <rFont val="WenQuanYi Zen Hei"/>
        <family val="2"/>
      </rPr>
      <t xml:space="preserve">ジョブカン承認前に電子契約へサイン（事後稟議）。暫定対応「運用徹底」のみで恒久対応策・承認・期限すべて空欄。</t>
    </r>
    <r>
      <rPr>
        <sz val="10"/>
        <rFont val="Arial"/>
        <family val="0"/>
        <charset val="1"/>
      </rPr>
      <t xml:space="preserve">ADO②No.14</t>
    </r>
    <r>
      <rPr>
        <sz val="10"/>
        <rFont val="WenQuanYi Zen Hei"/>
        <family val="2"/>
      </rPr>
      <t xml:space="preserve">（決裁ルート）に直結。起票者が倉石のため森本が確認。</t>
    </r>
  </si>
  <si>
    <t xml:space="preserve">ADO-26</t>
  </si>
  <si>
    <t xml:space="preserve">住民税の異動手続きが完了できていなかった</t>
  </si>
  <si>
    <r>
      <rPr>
        <sz val="10"/>
        <rFont val="WenQuanYi Zen Hei"/>
        <family val="2"/>
      </rPr>
      <t xml:space="preserve">・退職</t>
    </r>
    <r>
      <rPr>
        <sz val="10"/>
        <rFont val="Arial"/>
        <family val="0"/>
        <charset val="1"/>
      </rPr>
      <t xml:space="preserve">WF</t>
    </r>
    <r>
      <rPr>
        <sz val="10"/>
        <rFont val="WenQuanYi Zen Hei"/>
        <family val="2"/>
      </rPr>
      <t xml:space="preserve">と産育休</t>
    </r>
    <r>
      <rPr>
        <sz val="10"/>
        <rFont val="Arial"/>
        <family val="0"/>
        <charset val="1"/>
      </rPr>
      <t xml:space="preserve">WF</t>
    </r>
    <r>
      <rPr>
        <sz val="10"/>
        <rFont val="WenQuanYi Zen Hei"/>
        <family val="2"/>
      </rPr>
      <t xml:space="preserve">に「</t>
    </r>
    <r>
      <rPr>
        <sz val="10"/>
        <rFont val="Arial"/>
        <family val="0"/>
        <charset val="1"/>
      </rPr>
      <t xml:space="preserve">1</t>
    </r>
    <r>
      <rPr>
        <sz val="10"/>
        <rFont val="WenQuanYi Zen Hei"/>
        <family val="2"/>
      </rPr>
      <t xml:space="preserve">月</t>
    </r>
    <r>
      <rPr>
        <sz val="10"/>
        <rFont val="Arial"/>
        <family val="0"/>
        <charset val="1"/>
      </rPr>
      <t xml:space="preserve">1</t>
    </r>
    <r>
      <rPr>
        <sz val="10"/>
        <rFont val="WenQuanYi Zen Hei"/>
        <family val="2"/>
      </rPr>
      <t xml:space="preserve">日時点での住民票の住所」を入力してもらう項目を作成する
・異動届を出すタイミングとなる、産育休と退職対応のチェックリストに「</t>
    </r>
    <r>
      <rPr>
        <sz val="10"/>
        <rFont val="Arial"/>
        <family val="0"/>
        <charset val="1"/>
      </rPr>
      <t xml:space="preserve">1</t>
    </r>
    <r>
      <rPr>
        <sz val="10"/>
        <rFont val="WenQuanYi Zen Hei"/>
        <family val="2"/>
      </rPr>
      <t xml:space="preserve">月</t>
    </r>
    <r>
      <rPr>
        <sz val="10"/>
        <rFont val="Arial"/>
        <family val="0"/>
        <charset val="1"/>
      </rPr>
      <t xml:space="preserve">1</t>
    </r>
    <r>
      <rPr>
        <sz val="10"/>
        <rFont val="WenQuanYi Zen Hei"/>
        <family val="2"/>
      </rPr>
      <t xml:space="preserve">日時点での住民票の住所を確認する」という項目を追加する。</t>
    </r>
  </si>
  <si>
    <r>
      <rPr>
        <sz val="10"/>
        <rFont val="WenQuanYi Zen Hei"/>
        <family val="2"/>
      </rPr>
      <t xml:space="preserve">住民税異動届の提出先誤り。恒久対応「退職</t>
    </r>
    <r>
      <rPr>
        <sz val="10"/>
        <rFont val="Arial"/>
        <family val="0"/>
        <charset val="1"/>
      </rPr>
      <t xml:space="preserve">WF</t>
    </r>
    <r>
      <rPr>
        <sz val="10"/>
        <rFont val="WenQuanYi Zen Hei"/>
        <family val="2"/>
      </rPr>
      <t xml:space="preserve">・産育休</t>
    </r>
    <r>
      <rPr>
        <sz val="10"/>
        <rFont val="Arial"/>
        <family val="0"/>
        <charset val="1"/>
      </rPr>
      <t xml:space="preserve">WF</t>
    </r>
    <r>
      <rPr>
        <sz val="10"/>
        <rFont val="WenQuanYi Zen Hei"/>
        <family val="2"/>
      </rPr>
      <t xml:space="preserve">に</t>
    </r>
    <r>
      <rPr>
        <sz val="10"/>
        <rFont val="Arial"/>
        <family val="0"/>
        <charset val="1"/>
      </rPr>
      <t xml:space="preserve">1/1</t>
    </r>
    <r>
      <rPr>
        <sz val="10"/>
        <rFont val="WenQuanYi Zen Hei"/>
        <family val="2"/>
      </rPr>
      <t xml:space="preserve">時点住所の項目追加、チェックリスト追加」。</t>
    </r>
    <r>
      <rPr>
        <sz val="10"/>
        <rFont val="Arial"/>
        <family val="0"/>
        <charset val="1"/>
      </rPr>
      <t xml:space="preserve">WF</t>
    </r>
    <r>
      <rPr>
        <sz val="10"/>
        <rFont val="WenQuanYi Zen Hei"/>
        <family val="2"/>
      </rPr>
      <t xml:space="preserve">の現物。承認日・期限・完了なし。</t>
    </r>
  </si>
  <si>
    <t xml:space="preserve">ADO-27</t>
  </si>
  <si>
    <t xml:space="preserve">面接の会議室取り忘れ</t>
  </si>
  <si>
    <r>
      <rPr>
        <sz val="10"/>
        <rFont val="WenQuanYi Zen Hei"/>
        <family val="2"/>
      </rPr>
      <t xml:space="preserve">必ず</t>
    </r>
    <r>
      <rPr>
        <sz val="10"/>
        <rFont val="Arial"/>
        <family val="0"/>
        <charset val="1"/>
      </rPr>
      <t xml:space="preserve">Herp</t>
    </r>
    <r>
      <rPr>
        <sz val="10"/>
        <rFont val="WenQuanYi Zen Hei"/>
        <family val="2"/>
      </rPr>
      <t xml:space="preserve">の日程調整ツールから調整を行います。</t>
    </r>
  </si>
  <si>
    <t xml:space="preserve">会議室が空いていない場合は設定できない仕様です。</t>
  </si>
  <si>
    <t xml:space="preserve">採用オペレーション</t>
  </si>
  <si>
    <r>
      <rPr>
        <sz val="10"/>
        <rFont val="WenQuanYi Zen Hei"/>
        <family val="2"/>
      </rPr>
      <t xml:space="preserve">面接の会議室取り忘れ。恒久対応「</t>
    </r>
    <r>
      <rPr>
        <sz val="10"/>
        <rFont val="Arial"/>
        <family val="0"/>
        <charset val="1"/>
      </rPr>
      <t xml:space="preserve">Herp</t>
    </r>
    <r>
      <rPr>
        <sz val="10"/>
        <rFont val="WenQuanYi Zen Hei"/>
        <family val="2"/>
      </rPr>
      <t xml:space="preserve">の日程調整ツール必須」＝構造的対策の好例。</t>
    </r>
  </si>
  <si>
    <t xml:space="preserve">ADO-28</t>
  </si>
  <si>
    <t xml:space="preserve">社会保険加入手続き漏れ</t>
  </si>
  <si>
    <t xml:space="preserve">入退社スプシに「社保加入要否」を追加し、関数で自動表示されるようにする</t>
  </si>
  <si>
    <r>
      <rPr>
        <sz val="10"/>
        <rFont val="WenQuanYi Zen Hei"/>
        <family val="2"/>
      </rPr>
      <t xml:space="preserve">インターンの社保加入漏れ。恒久対応「入退社スプシに社保加入要否を関数で自動表示」。シートの現物。完了</t>
    </r>
    <r>
      <rPr>
        <sz val="10"/>
        <rFont val="Arial"/>
        <family val="0"/>
        <charset val="1"/>
      </rPr>
      <t xml:space="preserve">2026/8/20</t>
    </r>
    <r>
      <rPr>
        <sz val="10"/>
        <rFont val="WenQuanYi Zen Hei"/>
        <family val="2"/>
      </rPr>
      <t xml:space="preserve">。</t>
    </r>
  </si>
  <si>
    <t xml:space="preserve">ADO-29</t>
  </si>
  <si>
    <t xml:space="preserve">給与支給漏れ</t>
  </si>
  <si>
    <t xml:space="preserve">個人情報にもなるため、ここでは非開示とさせてください。</t>
  </si>
  <si>
    <r>
      <rPr>
        <sz val="10"/>
        <rFont val="WenQuanYi Zen Hei"/>
        <family val="2"/>
      </rPr>
      <t xml:space="preserve">休職中などで、日割り計算をお願いする場合</t>
    </r>
    <r>
      <rPr>
        <sz val="10"/>
        <rFont val="Arial"/>
        <family val="0"/>
        <charset val="1"/>
      </rPr>
      <t xml:space="preserve">(</t>
    </r>
    <r>
      <rPr>
        <sz val="10"/>
        <rFont val="WenQuanYi Zen Hei"/>
        <family val="2"/>
      </rPr>
      <t xml:space="preserve">前月の給与を支給していない育休、休職者</t>
    </r>
    <r>
      <rPr>
        <sz val="10"/>
        <rFont val="Arial"/>
        <family val="0"/>
        <charset val="1"/>
      </rPr>
      <t xml:space="preserve">)</t>
    </r>
    <r>
      <rPr>
        <sz val="10"/>
        <rFont val="WenQuanYi Zen Hei"/>
        <family val="2"/>
      </rPr>
      <t xml:space="preserve">は個別で勤怠データをチェックします。
勤怠締め前にピックアップして該当者の出勤簿を確認します。
出勤簿上で有給の日数を含めた、正しい日数を確認し、
社労士に連携する勤怠データの出勤日数を修正する。</t>
    </r>
    <r>
      <rPr>
        <sz val="10"/>
        <rFont val="Arial"/>
        <family val="0"/>
        <charset val="1"/>
      </rPr>
      <t xml:space="preserve">(</t>
    </r>
    <r>
      <rPr>
        <sz val="10"/>
        <rFont val="WenQuanYi Zen Hei"/>
        <family val="2"/>
      </rPr>
      <t xml:space="preserve">有給を取得している場合は日数が合っていない前提です。</t>
    </r>
    <r>
      <rPr>
        <sz val="10"/>
        <rFont val="Arial"/>
        <family val="0"/>
        <charset val="1"/>
      </rPr>
      <t xml:space="preserve">)
</t>
    </r>
    <r>
      <rPr>
        <sz val="10"/>
        <rFont val="WenQuanYi Zen Hei"/>
        <family val="2"/>
      </rPr>
      <t xml:space="preserve">上記をマニュアルに記載しました。
</t>
    </r>
    <r>
      <rPr>
        <sz val="10"/>
        <rFont val="Arial"/>
        <family val="0"/>
        <charset val="1"/>
      </rPr>
      <t xml:space="preserve">https://docs.google.com/document/d/1NEvLHiuZVhns7vouYthe8eodSG1ruxnwNSmCbo9LqZQ/edit?tab=t.0</t>
    </r>
  </si>
  <si>
    <r>
      <rPr>
        <sz val="10"/>
        <rFont val="WenQuanYi Zen Hei"/>
        <family val="2"/>
      </rPr>
      <t xml:space="preserve">有給の全休日の支給漏れを防ぐ：出勤日数（実打刻）だけで日割りすると、夏季・冬季などの有給の全休日が支給日数から抜け落ちます。支給日数の定義（出勤日数＋有給の全休日数）を明記することで、</t>
    </r>
    <r>
      <rPr>
        <sz val="10"/>
        <rFont val="Arial"/>
        <family val="0"/>
        <charset val="1"/>
      </rPr>
      <t xml:space="preserve">1</t>
    </r>
    <r>
      <rPr>
        <sz val="10"/>
        <rFont val="WenQuanYi Zen Hei"/>
        <family val="2"/>
      </rPr>
      <t xml:space="preserve">日分の未支給を未然に防ぎます。</t>
    </r>
  </si>
  <si>
    <t xml:space="preserve">休職復帰者の日割り計算ミス。恒久対応「日割り対象者の出勤簿を個別確認（マニュアル化）」。マニュアルの該当箇所と直近の適用例。原因分類が空欄。</t>
  </si>
  <si>
    <t xml:space="preserve">ADO-30</t>
  </si>
  <si>
    <t xml:space="preserve">過重支払い</t>
  </si>
  <si>
    <r>
      <rPr>
        <sz val="10"/>
        <rFont val="Arial"/>
        <family val="0"/>
        <charset val="1"/>
      </rPr>
      <t xml:space="preserve">2,970,274</t>
    </r>
    <r>
      <rPr>
        <sz val="10"/>
        <rFont val="WenQuanYi Zen Hei"/>
        <family val="2"/>
      </rPr>
      <t xml:space="preserve">円</t>
    </r>
  </si>
  <si>
    <r>
      <rPr>
        <sz val="10"/>
        <rFont val="WenQuanYi Zen Hei"/>
        <family val="2"/>
      </rPr>
      <t xml:space="preserve">支払いに関する </t>
    </r>
    <r>
      <rPr>
        <sz val="10"/>
        <rFont val="Arial"/>
        <family val="0"/>
        <charset val="1"/>
      </rPr>
      <t xml:space="preserve">AI </t>
    </r>
    <r>
      <rPr>
        <sz val="10"/>
        <rFont val="WenQuanYi Zen Hei"/>
        <family val="2"/>
      </rPr>
      <t xml:space="preserve">チェックで、そもそもエラーが出てくる件数を </t>
    </r>
    <r>
      <rPr>
        <sz val="10"/>
        <rFont val="Arial"/>
        <family val="0"/>
        <charset val="1"/>
      </rPr>
      <t xml:space="preserve">10 </t>
    </r>
    <r>
      <rPr>
        <sz val="10"/>
        <rFont val="WenQuanYi Zen Hei"/>
        <family val="2"/>
      </rPr>
      <t xml:space="preserve">件以内にするというのを目標にする。</t>
    </r>
  </si>
  <si>
    <r>
      <rPr>
        <sz val="10"/>
        <rFont val="WenQuanYi Zen Hei"/>
        <family val="2"/>
      </rPr>
      <t xml:space="preserve">オンワード </t>
    </r>
    <r>
      <rPr>
        <sz val="10"/>
        <rFont val="Arial"/>
        <family val="0"/>
        <charset val="1"/>
      </rPr>
      <t xml:space="preserve">297</t>
    </r>
    <r>
      <rPr>
        <sz val="10"/>
        <rFont val="WenQuanYi Zen Hei"/>
        <family val="2"/>
      </rPr>
      <t xml:space="preserve">万円の過重払い。</t>
    </r>
    <r>
      <rPr>
        <sz val="10"/>
        <rFont val="Arial"/>
        <family val="0"/>
        <charset val="1"/>
      </rPr>
      <t xml:space="preserve">AI</t>
    </r>
    <r>
      <rPr>
        <sz val="10"/>
        <rFont val="WenQuanYi Zen Hei"/>
        <family val="2"/>
      </rPr>
      <t xml:space="preserve">チェックが検出したのに「問題なし」と判断。恒久対応「</t>
    </r>
    <r>
      <rPr>
        <sz val="10"/>
        <rFont val="Arial"/>
        <family val="0"/>
        <charset val="1"/>
      </rPr>
      <t xml:space="preserve">AI</t>
    </r>
    <r>
      <rPr>
        <sz val="10"/>
        <rFont val="WenQuanYi Zen Hei"/>
        <family val="2"/>
      </rPr>
      <t xml:space="preserve">チェックのエラー件数を</t>
    </r>
    <r>
      <rPr>
        <sz val="10"/>
        <rFont val="Arial"/>
        <family val="0"/>
        <charset val="1"/>
      </rPr>
      <t xml:space="preserve">10</t>
    </r>
    <r>
      <rPr>
        <sz val="10"/>
        <rFont val="WenQuanYi Zen Hei"/>
        <family val="2"/>
      </rPr>
      <t xml:space="preserve">件以内にする目標」（完了予定</t>
    </r>
    <r>
      <rPr>
        <sz val="10"/>
        <rFont val="Arial"/>
        <family val="0"/>
        <charset val="1"/>
      </rPr>
      <t xml:space="preserve">2027/1/31</t>
    </r>
    <r>
      <rPr>
        <sz val="10"/>
        <rFont val="WenQuanYi Zen Hei"/>
        <family val="2"/>
      </rPr>
      <t xml:space="preserve">）は対策というより目標。検出→判断の記録と、資産照合の月次実施状況を確認。</t>
    </r>
  </si>
  <si>
    <t xml:space="preserve">ADO-31</t>
  </si>
  <si>
    <t xml:space="preserve">支払い漏れ</t>
  </si>
  <si>
    <r>
      <rPr>
        <sz val="10"/>
        <rFont val="WenQuanYi Zen Hei"/>
        <family val="2"/>
      </rPr>
      <t xml:space="preserve">約</t>
    </r>
    <r>
      <rPr>
        <sz val="10"/>
        <rFont val="Arial"/>
        <family val="0"/>
        <charset val="1"/>
      </rPr>
      <t xml:space="preserve">8,000</t>
    </r>
    <r>
      <rPr>
        <sz val="10"/>
        <rFont val="WenQuanYi Zen Hei"/>
        <family val="2"/>
      </rPr>
      <t xml:space="preserve">円</t>
    </r>
  </si>
  <si>
    <t xml:space="preserve">大成への支払漏れ。恒久対応策・承認すべて空欄。</t>
  </si>
  <si>
    <t xml:space="preserve">ADO-32</t>
  </si>
  <si>
    <t xml:space="preserve">有給付与の対応ミス</t>
  </si>
  <si>
    <r>
      <rPr>
        <sz val="10"/>
        <rFont val="Arial"/>
        <family val="0"/>
        <charset val="1"/>
      </rPr>
      <t xml:space="preserve">8</t>
    </r>
    <r>
      <rPr>
        <sz val="10"/>
        <rFont val="WenQuanYi Zen Hei"/>
        <family val="2"/>
      </rPr>
      <t xml:space="preserve">名</t>
    </r>
  </si>
  <si>
    <r>
      <rPr>
        <sz val="10"/>
        <rFont val="Arial"/>
        <family val="0"/>
        <charset val="1"/>
      </rPr>
      <t xml:space="preserve">CSV</t>
    </r>
    <r>
      <rPr>
        <sz val="10"/>
        <rFont val="WenQuanYi Zen Hei"/>
        <family val="2"/>
      </rPr>
      <t xml:space="preserve">等から一括で休暇付与を行った場合は、登録後に雇用形態（正社員・非正規）ごとに複数名を抽出し、付与日数・付与回数に重複がないか確認する。
マニュアルにも追加済です。
</t>
    </r>
    <r>
      <rPr>
        <sz val="10"/>
        <rFont val="Arial"/>
        <family val="0"/>
        <charset val="1"/>
      </rPr>
      <t xml:space="preserve">https://docs.google.com/spreadsheets/d/1LyRH1uTL6xVHQtA-N7jDdTWY0tFNORHzsbPYan8tSts/edit?gid=1543605334#gid=1543605334&amp;range=331:331</t>
    </r>
  </si>
  <si>
    <t xml:space="preserve">登録後に雇用形態ごとのチェックを行うことで、重複登録や登録漏れを早期に発見できると考える。今後の休暇付与時に運用し、再発がないか確認することによって未然に防ぎます。</t>
  </si>
  <si>
    <r>
      <rPr>
        <sz val="10"/>
        <rFont val="WenQuanYi Zen Hei"/>
        <family val="2"/>
      </rPr>
      <t xml:space="preserve">有給付与の重複（</t>
    </r>
    <r>
      <rPr>
        <sz val="10"/>
        <rFont val="Arial"/>
        <family val="0"/>
        <charset val="1"/>
      </rPr>
      <t xml:space="preserve">8</t>
    </r>
    <r>
      <rPr>
        <sz val="10"/>
        <rFont val="WenQuanYi Zen Hei"/>
        <family val="2"/>
      </rPr>
      <t xml:space="preserve">名）。恒久対応「一括登録後に雇用形態ごとの重複確認（マニュアル追加済）」。マニュアル該当箇所。承認</t>
    </r>
    <r>
      <rPr>
        <sz val="10"/>
        <rFont val="Arial"/>
        <family val="0"/>
        <charset val="1"/>
      </rPr>
      <t xml:space="preserve">2026/10/7</t>
    </r>
    <r>
      <rPr>
        <sz val="10"/>
        <rFont val="WenQuanYi Zen Hei"/>
        <family val="2"/>
      </rPr>
      <t xml:space="preserve">、期限・完了なし。</t>
    </r>
  </si>
  <si>
    <t xml:space="preserve">ADO-33</t>
  </si>
  <si>
    <t xml:space="preserve">人事共有の情報間違い</t>
  </si>
  <si>
    <r>
      <rPr>
        <sz val="10"/>
        <rFont val="WenQuanYi Zen Hei"/>
        <family val="2"/>
      </rPr>
      <t xml:space="preserve">発信前の</t>
    </r>
    <r>
      <rPr>
        <sz val="10"/>
        <rFont val="Arial"/>
        <family val="0"/>
        <charset val="1"/>
      </rPr>
      <t xml:space="preserve">W</t>
    </r>
    <r>
      <rPr>
        <sz val="10"/>
        <rFont val="WenQuanYi Zen Hei"/>
        <family val="2"/>
      </rPr>
      <t xml:space="preserve">チェックをマストにする（スクショを総務チャンネルで共有）</t>
    </r>
  </si>
  <si>
    <r>
      <rPr>
        <sz val="10"/>
        <rFont val="WenQuanYi Zen Hei"/>
        <family val="2"/>
      </rPr>
      <t xml:space="preserve">休職者を退職者として全社発信。恒久対応「発信前の</t>
    </r>
    <r>
      <rPr>
        <sz val="10"/>
        <rFont val="Arial"/>
        <family val="0"/>
        <charset val="1"/>
      </rPr>
      <t xml:space="preserve">W</t>
    </r>
    <r>
      <rPr>
        <sz val="10"/>
        <rFont val="WenQuanYi Zen Hei"/>
        <family val="2"/>
      </rPr>
      <t xml:space="preserve">チェック必須」。完了</t>
    </r>
    <r>
      <rPr>
        <sz val="10"/>
        <rFont val="Arial"/>
        <family val="0"/>
        <charset val="1"/>
      </rPr>
      <t xml:space="preserve">2026/10/14</t>
    </r>
    <r>
      <rPr>
        <sz val="10"/>
        <rFont val="WenQuanYi Zen Hei"/>
        <family val="2"/>
      </rPr>
      <t xml:space="preserve">。</t>
    </r>
  </si>
  <si>
    <r>
      <rPr>
        <b val="true"/>
        <sz val="10"/>
        <rFont val="WenQuanYi Zen Hei"/>
        <family val="2"/>
      </rPr>
      <t xml:space="preserve">① 年別</t>
    </r>
    <r>
      <rPr>
        <b val="true"/>
        <sz val="10"/>
        <rFont val="Arial"/>
        <family val="0"/>
        <charset val="1"/>
      </rPr>
      <t xml:space="preserve">×</t>
    </r>
    <r>
      <rPr>
        <b val="true"/>
        <sz val="10"/>
        <rFont val="WenQuanYi Zen Hei"/>
        <family val="2"/>
      </rPr>
      <t xml:space="preserve">レベル別（発見年ベース）</t>
    </r>
  </si>
  <si>
    <r>
      <rPr>
        <b val="true"/>
        <sz val="10"/>
        <color rgb="FFFFFFFF"/>
        <rFont val="WenQuanYi Zen Hei"/>
        <family val="2"/>
      </rPr>
      <t xml:space="preserve">レベル</t>
    </r>
    <r>
      <rPr>
        <b val="true"/>
        <sz val="10"/>
        <color rgb="FFFFFFFF"/>
        <rFont val="Arial"/>
        <family val="0"/>
        <charset val="1"/>
      </rPr>
      <t xml:space="preserve">1</t>
    </r>
  </si>
  <si>
    <r>
      <rPr>
        <b val="true"/>
        <sz val="10"/>
        <color rgb="FFFFFFFF"/>
        <rFont val="WenQuanYi Zen Hei"/>
        <family val="2"/>
      </rPr>
      <t xml:space="preserve">レベル</t>
    </r>
    <r>
      <rPr>
        <b val="true"/>
        <sz val="10"/>
        <color rgb="FFFFFFFF"/>
        <rFont val="Arial"/>
        <family val="0"/>
        <charset val="1"/>
      </rPr>
      <t xml:space="preserve">2</t>
    </r>
  </si>
  <si>
    <r>
      <rPr>
        <b val="true"/>
        <sz val="10"/>
        <color rgb="FFFFFFFF"/>
        <rFont val="WenQuanYi Zen Hei"/>
        <family val="2"/>
      </rPr>
      <t xml:space="preserve">レベル</t>
    </r>
    <r>
      <rPr>
        <b val="true"/>
        <sz val="10"/>
        <color rgb="FFFFFFFF"/>
        <rFont val="Arial"/>
        <family val="0"/>
        <charset val="1"/>
      </rPr>
      <t xml:space="preserve">3</t>
    </r>
  </si>
  <si>
    <t xml:space="preserve">合計</t>
  </si>
  <si>
    <r>
      <rPr>
        <sz val="10"/>
        <rFont val="Arial"/>
        <family val="0"/>
        <charset val="1"/>
      </rPr>
      <t xml:space="preserve">※2024</t>
    </r>
    <r>
      <rPr>
        <sz val="10"/>
        <rFont val="WenQuanYi Zen Hei"/>
        <family val="2"/>
      </rPr>
      <t xml:space="preserve">年は</t>
    </r>
    <r>
      <rPr>
        <sz val="10"/>
        <rFont val="Arial"/>
        <family val="0"/>
        <charset val="1"/>
      </rPr>
      <t xml:space="preserve">ADG</t>
    </r>
    <r>
      <rPr>
        <sz val="10"/>
        <rFont val="WenQuanYi Zen Hei"/>
        <family val="2"/>
      </rPr>
      <t xml:space="preserve">シート</t>
    </r>
    <r>
      <rPr>
        <sz val="10"/>
        <rFont val="Arial"/>
        <family val="0"/>
        <charset val="1"/>
      </rPr>
      <t xml:space="preserve">2</t>
    </r>
    <r>
      <rPr>
        <sz val="10"/>
        <rFont val="WenQuanYi Zen Hei"/>
        <family val="2"/>
      </rPr>
      <t xml:space="preserve">件＋</t>
    </r>
    <r>
      <rPr>
        <sz val="10"/>
        <rFont val="Arial"/>
        <family val="0"/>
        <charset val="1"/>
      </rPr>
      <t xml:space="preserve">ADO</t>
    </r>
    <r>
      <rPr>
        <sz val="10"/>
        <rFont val="WenQuanYi Zen Hei"/>
        <family val="2"/>
      </rPr>
      <t xml:space="preserve">シート（</t>
    </r>
    <r>
      <rPr>
        <sz val="10"/>
        <rFont val="Arial"/>
        <family val="0"/>
        <charset val="1"/>
      </rPr>
      <t xml:space="preserve">2024/9</t>
    </r>
    <r>
      <rPr>
        <sz val="10"/>
        <rFont val="WenQuanYi Zen Hei"/>
        <family val="2"/>
      </rPr>
      <t xml:space="preserve">開始）</t>
    </r>
    <r>
      <rPr>
        <sz val="10"/>
        <rFont val="Arial"/>
        <family val="0"/>
        <charset val="1"/>
      </rPr>
      <t xml:space="preserve">4</t>
    </r>
    <r>
      <rPr>
        <sz val="10"/>
        <rFont val="WenQuanYi Zen Hei"/>
        <family val="2"/>
      </rPr>
      <t xml:space="preserve">件。</t>
    </r>
    <r>
      <rPr>
        <sz val="10"/>
        <rFont val="Arial"/>
        <family val="0"/>
        <charset val="1"/>
      </rPr>
      <t xml:space="preserve">2026</t>
    </r>
    <r>
      <rPr>
        <sz val="10"/>
        <rFont val="WenQuanYi Zen Hei"/>
        <family val="2"/>
      </rPr>
      <t xml:space="preserve">年は</t>
    </r>
    <r>
      <rPr>
        <sz val="10"/>
        <rFont val="Arial"/>
        <family val="0"/>
        <charset val="1"/>
      </rPr>
      <t xml:space="preserve">10/13</t>
    </r>
    <r>
      <rPr>
        <sz val="10"/>
        <rFont val="WenQuanYi Zen Hei"/>
        <family val="2"/>
      </rPr>
      <t xml:space="preserve">まで。</t>
    </r>
  </si>
  <si>
    <r>
      <rPr>
        <b val="true"/>
        <sz val="10"/>
        <rFont val="WenQuanYi Zen Hei"/>
        <family val="2"/>
      </rPr>
      <t xml:space="preserve">② 原因分類</t>
    </r>
    <r>
      <rPr>
        <b val="true"/>
        <sz val="10"/>
        <rFont val="Arial"/>
        <family val="0"/>
        <charset val="1"/>
      </rPr>
      <t xml:space="preserve">×</t>
    </r>
    <r>
      <rPr>
        <b val="true"/>
        <sz val="10"/>
        <rFont val="WenQuanYi Zen Hei"/>
        <family val="2"/>
      </rPr>
      <t xml:space="preserve">レベル（</t>
    </r>
    <r>
      <rPr>
        <b val="true"/>
        <sz val="10"/>
        <rFont val="Arial"/>
        <family val="0"/>
        <charset val="1"/>
      </rPr>
      <t xml:space="preserve">2024-2026</t>
    </r>
    <r>
      <rPr>
        <b val="true"/>
        <sz val="10"/>
        <rFont val="WenQuanYi Zen Hei"/>
        <family val="2"/>
      </rPr>
      <t xml:space="preserve">）</t>
    </r>
  </si>
  <si>
    <t xml:space="preserve">（空欄）</t>
  </si>
  <si>
    <t xml:space="preserve">③ 恒久対応の記録状況</t>
  </si>
  <si>
    <t xml:space="preserve">指標</t>
  </si>
  <si>
    <t xml:space="preserve">全体（件）</t>
  </si>
  <si>
    <t xml:space="preserve">全体（率）</t>
  </si>
  <si>
    <r>
      <rPr>
        <b val="true"/>
        <sz val="10"/>
        <color rgb="FFFFFFFF"/>
        <rFont val="WenQuanYi Zen Hei"/>
        <family val="2"/>
      </rPr>
      <t xml:space="preserve">レベル</t>
    </r>
    <r>
      <rPr>
        <b val="true"/>
        <sz val="10"/>
        <color rgb="FFFFFFFF"/>
        <rFont val="Arial"/>
        <family val="0"/>
        <charset val="1"/>
      </rPr>
      <t xml:space="preserve">3</t>
    </r>
    <r>
      <rPr>
        <b val="true"/>
        <sz val="10"/>
        <color rgb="FFFFFFFF"/>
        <rFont val="WenQuanYi Zen Hei"/>
        <family val="2"/>
      </rPr>
      <t xml:space="preserve">（件）</t>
    </r>
  </si>
  <si>
    <r>
      <rPr>
        <b val="true"/>
        <sz val="10"/>
        <color rgb="FFFFFFFF"/>
        <rFont val="WenQuanYi Zen Hei"/>
        <family val="2"/>
      </rPr>
      <t xml:space="preserve">レベル</t>
    </r>
    <r>
      <rPr>
        <b val="true"/>
        <sz val="10"/>
        <color rgb="FFFFFFFF"/>
        <rFont val="Arial"/>
        <family val="0"/>
        <charset val="1"/>
      </rPr>
      <t xml:space="preserve">3</t>
    </r>
    <r>
      <rPr>
        <b val="true"/>
        <sz val="10"/>
        <color rgb="FFFFFFFF"/>
        <rFont val="WenQuanYi Zen Hei"/>
        <family val="2"/>
      </rPr>
      <t xml:space="preserve">（率）</t>
    </r>
  </si>
  <si>
    <t xml:space="preserve">母集団件数</t>
  </si>
  <si>
    <t xml:space="preserve">恒久対応策の記入</t>
  </si>
  <si>
    <t xml:space="preserve">恒久対応承認者の記入</t>
  </si>
  <si>
    <t xml:space="preserve">恒久対応承認日の記入</t>
  </si>
  <si>
    <t xml:space="preserve">完了予定日の設定</t>
  </si>
  <si>
    <t xml:space="preserve">対応完了日の記入</t>
  </si>
  <si>
    <t xml:space="preserve">有効性の記入</t>
  </si>
  <si>
    <r>
      <rPr>
        <sz val="10"/>
        <rFont val="WenQuanYi Zen Hei"/>
        <family val="2"/>
      </rPr>
      <t xml:space="preserve">参考：</t>
    </r>
    <r>
      <rPr>
        <sz val="10"/>
        <rFont val="Arial"/>
        <family val="0"/>
        <charset val="1"/>
      </rPr>
      <t xml:space="preserve">SCMG</t>
    </r>
    <r>
      <rPr>
        <sz val="10"/>
        <rFont val="WenQuanYi Zen Hei"/>
        <family val="2"/>
      </rPr>
      <t xml:space="preserve">（</t>
    </r>
    <r>
      <rPr>
        <sz val="10"/>
        <rFont val="Arial"/>
        <family val="0"/>
        <charset val="1"/>
      </rPr>
      <t xml:space="preserve">32</t>
    </r>
    <r>
      <rPr>
        <sz val="10"/>
        <rFont val="WenQuanYi Zen Hei"/>
        <family val="2"/>
      </rPr>
      <t xml:space="preserve">件）は恒久対応策</t>
    </r>
    <r>
      <rPr>
        <sz val="10"/>
        <rFont val="Arial"/>
        <family val="0"/>
        <charset val="1"/>
      </rPr>
      <t xml:space="preserve">62.5%</t>
    </r>
    <r>
      <rPr>
        <sz val="10"/>
        <rFont val="WenQuanYi Zen Hei"/>
        <family val="2"/>
      </rPr>
      <t xml:space="preserve">／承認日</t>
    </r>
    <r>
      <rPr>
        <sz val="10"/>
        <rFont val="Arial"/>
        <family val="0"/>
        <charset val="1"/>
      </rPr>
      <t xml:space="preserve">15.6%</t>
    </r>
    <r>
      <rPr>
        <sz val="10"/>
        <rFont val="WenQuanYi Zen Hei"/>
        <family val="2"/>
      </rPr>
      <t xml:space="preserve">／完了日</t>
    </r>
    <r>
      <rPr>
        <sz val="10"/>
        <rFont val="Arial"/>
        <family val="0"/>
        <charset val="1"/>
      </rPr>
      <t xml:space="preserve">3.1%</t>
    </r>
    <r>
      <rPr>
        <sz val="10"/>
        <rFont val="WenQuanYi Zen Hei"/>
        <family val="2"/>
      </rPr>
      <t xml:space="preserve">、</t>
    </r>
    <r>
      <rPr>
        <sz val="10"/>
        <rFont val="Arial"/>
        <family val="0"/>
        <charset val="1"/>
      </rPr>
      <t xml:space="preserve">GRG</t>
    </r>
    <r>
      <rPr>
        <sz val="10"/>
        <rFont val="WenQuanYi Zen Hei"/>
        <family val="2"/>
      </rPr>
      <t xml:space="preserve">（</t>
    </r>
    <r>
      <rPr>
        <sz val="10"/>
        <rFont val="Arial"/>
        <family val="0"/>
        <charset val="1"/>
      </rPr>
      <t xml:space="preserve">159</t>
    </r>
    <r>
      <rPr>
        <sz val="10"/>
        <rFont val="WenQuanYi Zen Hei"/>
        <family val="2"/>
      </rPr>
      <t xml:space="preserve">件）は恒久対応策</t>
    </r>
    <r>
      <rPr>
        <sz val="10"/>
        <rFont val="Arial"/>
        <family val="0"/>
        <charset val="1"/>
      </rPr>
      <t xml:space="preserve">93.1%</t>
    </r>
    <r>
      <rPr>
        <sz val="10"/>
        <rFont val="WenQuanYi Zen Hei"/>
        <family val="2"/>
      </rPr>
      <t xml:space="preserve">／完了日</t>
    </r>
    <r>
      <rPr>
        <sz val="10"/>
        <rFont val="Arial"/>
        <family val="0"/>
        <charset val="1"/>
      </rPr>
      <t xml:space="preserve">33.3%</t>
    </r>
    <r>
      <rPr>
        <sz val="10"/>
        <rFont val="WenQuanYi Zen Hei"/>
        <family val="2"/>
      </rPr>
      <t xml:space="preserve">。有効性はいずれも</t>
    </r>
    <r>
      <rPr>
        <sz val="10"/>
        <rFont val="Arial"/>
        <family val="0"/>
        <charset val="1"/>
      </rPr>
      <t xml:space="preserve">0%</t>
    </r>
    <r>
      <rPr>
        <sz val="10"/>
        <rFont val="WenQuanYi Zen Hei"/>
        <family val="2"/>
      </rPr>
      <t xml:space="preserve">。</t>
    </r>
  </si>
  <si>
    <r>
      <rPr>
        <b val="true"/>
        <sz val="10"/>
        <rFont val="WenQuanYi Zen Hei"/>
        <family val="2"/>
      </rPr>
      <t xml:space="preserve">④ ステータス内訳（レベル</t>
    </r>
    <r>
      <rPr>
        <b val="true"/>
        <sz val="10"/>
        <rFont val="Arial"/>
        <family val="0"/>
        <charset val="1"/>
      </rPr>
      <t xml:space="preserve">3</t>
    </r>
    <r>
      <rPr>
        <b val="true"/>
        <sz val="10"/>
        <rFont val="WenQuanYi Zen Hei"/>
        <family val="2"/>
      </rPr>
      <t xml:space="preserve">）</t>
    </r>
  </si>
  <si>
    <t xml:space="preserve">件数</t>
  </si>
  <si>
    <t xml:space="preserve">対策未記載</t>
  </si>
  <si>
    <t xml:space="preserve">承認日なし</t>
  </si>
  <si>
    <t xml:space="preserve">期限超過</t>
  </si>
  <si>
    <t xml:space="preserve">対応中</t>
  </si>
  <si>
    <t xml:space="preserve">完了</t>
  </si>
  <si>
    <t xml:space="preserve">⑤ 会計影響（過重払い・支払漏れの金額が判明している主な案件）</t>
  </si>
  <si>
    <t xml:space="preserve">案件</t>
  </si>
  <si>
    <t xml:space="preserve">金額（円）</t>
  </si>
  <si>
    <t xml:space="preserve">非正規社員給与の支払申請漏れ</t>
  </si>
  <si>
    <t xml:space="preserve">日本郵便 支払漏れ</t>
  </si>
  <si>
    <t xml:space="preserve">ヤーマン 過重払い</t>
  </si>
  <si>
    <t xml:space="preserve">クラスメソッド 過重払い</t>
  </si>
  <si>
    <t xml:space="preserve">オンワード 過重払い</t>
  </si>
  <si>
    <r>
      <rPr>
        <sz val="10"/>
        <rFont val="WenQuanYi Zen Hei"/>
        <family val="2"/>
      </rPr>
      <t xml:space="preserve">※ 台帳の「会計への影響</t>
    </r>
    <r>
      <rPr>
        <sz val="10"/>
        <rFont val="Arial"/>
        <family val="0"/>
        <charset val="1"/>
      </rPr>
      <t xml:space="preserve">(</t>
    </r>
    <r>
      <rPr>
        <sz val="10"/>
        <rFont val="WenQuanYi Zen Hei"/>
        <family val="2"/>
      </rPr>
      <t xml:space="preserve">金額</t>
    </r>
    <r>
      <rPr>
        <sz val="10"/>
        <rFont val="Arial"/>
        <family val="0"/>
        <charset val="1"/>
      </rPr>
      <t xml:space="preserve">)</t>
    </r>
    <r>
      <rPr>
        <sz val="10"/>
        <rFont val="WenQuanYi Zen Hei"/>
        <family val="2"/>
      </rPr>
      <t xml:space="preserve">」欄から転記。いずれも返金・相殺・遅延支払で解消済みとされるが、資金が一時的に社外に出た金額。</t>
    </r>
  </si>
  <si>
    <t xml:space="preserve">再発パターン</t>
  </si>
  <si>
    <r>
      <rPr>
        <b val="true"/>
        <sz val="10"/>
        <color rgb="FFFFFFFF"/>
        <rFont val="WenQuanYi Zen Hei"/>
        <family val="2"/>
      </rPr>
      <t xml:space="preserve">該当インシデント（ユニーク</t>
    </r>
    <r>
      <rPr>
        <b val="true"/>
        <sz val="10"/>
        <color rgb="FFFFFFFF"/>
        <rFont val="Arial"/>
        <family val="0"/>
        <charset val="1"/>
      </rPr>
      <t xml:space="preserve">ID</t>
    </r>
    <r>
      <rPr>
        <b val="true"/>
        <sz val="10"/>
        <color rgb="FFFFFFFF"/>
        <rFont val="WenQuanYi Zen Hei"/>
        <family val="2"/>
      </rPr>
      <t xml:space="preserve">／発見日／レベル／金額）</t>
    </r>
  </si>
  <si>
    <t xml:space="preserve">掲げられた恒久対応策の変遷</t>
  </si>
  <si>
    <t xml:space="preserve">監査での論点</t>
  </si>
  <si>
    <t xml:space="preserve">取引先・従業員への支払い漏れ／過重払い／誤送金</t>
  </si>
  <si>
    <r>
      <rPr>
        <sz val="10"/>
        <rFont val="Arial"/>
        <family val="0"/>
        <charset val="1"/>
      </rPr>
      <t xml:space="preserve">ADG-2 2021/2 Lv2</t>
    </r>
    <r>
      <rPr>
        <sz val="10"/>
        <rFont val="WenQuanYi Zen Hei"/>
        <family val="2"/>
      </rPr>
      <t xml:space="preserve">／</t>
    </r>
    <r>
      <rPr>
        <sz val="10"/>
        <rFont val="Arial"/>
        <family val="0"/>
        <charset val="1"/>
      </rPr>
      <t xml:space="preserve">ADG-9 2022/5 Lv2</t>
    </r>
    <r>
      <rPr>
        <sz val="10"/>
        <rFont val="WenQuanYi Zen Hei"/>
        <family val="2"/>
      </rPr>
      <t xml:space="preserve">／</t>
    </r>
    <r>
      <rPr>
        <sz val="10"/>
        <rFont val="Arial"/>
        <family val="0"/>
        <charset val="1"/>
      </rPr>
      <t xml:space="preserve">ADG-15 2023/7 Lv3 150</t>
    </r>
    <r>
      <rPr>
        <sz val="10"/>
        <rFont val="WenQuanYi Zen Hei"/>
        <family val="2"/>
      </rPr>
      <t xml:space="preserve">万／</t>
    </r>
    <r>
      <rPr>
        <sz val="10"/>
        <rFont val="Arial"/>
        <family val="0"/>
        <charset val="1"/>
      </rPr>
      <t xml:space="preserve">ADG-17 2023/12 Lv2</t>
    </r>
    <r>
      <rPr>
        <sz val="10"/>
        <rFont val="WenQuanYi Zen Hei"/>
        <family val="2"/>
      </rPr>
      <t xml:space="preserve">／</t>
    </r>
    <r>
      <rPr>
        <sz val="10"/>
        <rFont val="Arial"/>
        <family val="0"/>
        <charset val="1"/>
      </rPr>
      <t xml:space="preserve">ADG-18 2024/1 Lv3 55</t>
    </r>
    <r>
      <rPr>
        <sz val="10"/>
        <rFont val="WenQuanYi Zen Hei"/>
        <family val="2"/>
      </rPr>
      <t xml:space="preserve">万／</t>
    </r>
    <r>
      <rPr>
        <sz val="10"/>
        <rFont val="Arial"/>
        <family val="0"/>
        <charset val="1"/>
      </rPr>
      <t xml:space="preserve">ADO-1 2024/9 Lv3 529</t>
    </r>
    <r>
      <rPr>
        <sz val="10"/>
        <rFont val="WenQuanYi Zen Hei"/>
        <family val="2"/>
      </rPr>
      <t xml:space="preserve">万／</t>
    </r>
    <r>
      <rPr>
        <sz val="10"/>
        <rFont val="Arial"/>
        <family val="0"/>
        <charset val="1"/>
      </rPr>
      <t xml:space="preserve">ADO-5 2025/2 Lv3 83</t>
    </r>
    <r>
      <rPr>
        <sz val="10"/>
        <rFont val="WenQuanYi Zen Hei"/>
        <family val="2"/>
      </rPr>
      <t xml:space="preserve">万／</t>
    </r>
    <r>
      <rPr>
        <sz val="10"/>
        <rFont val="Arial"/>
        <family val="0"/>
        <charset val="1"/>
      </rPr>
      <t xml:space="preserve">ADO-6 2025/2 Lv2</t>
    </r>
    <r>
      <rPr>
        <sz val="10"/>
        <rFont val="WenQuanYi Zen Hei"/>
        <family val="2"/>
      </rPr>
      <t xml:space="preserve">／</t>
    </r>
    <r>
      <rPr>
        <sz val="10"/>
        <rFont val="Arial"/>
        <family val="0"/>
        <charset val="1"/>
      </rPr>
      <t xml:space="preserve">ADO-8 2025/6 Lv3 80</t>
    </r>
    <r>
      <rPr>
        <sz val="10"/>
        <rFont val="WenQuanYi Zen Hei"/>
        <family val="2"/>
      </rPr>
      <t xml:space="preserve">万／</t>
    </r>
    <r>
      <rPr>
        <sz val="10"/>
        <rFont val="Arial"/>
        <family val="0"/>
        <charset val="1"/>
      </rPr>
      <t xml:space="preserve">ADO-9 2025/8 Lv1</t>
    </r>
    <r>
      <rPr>
        <sz val="10"/>
        <rFont val="WenQuanYi Zen Hei"/>
        <family val="2"/>
      </rPr>
      <t xml:space="preserve">／</t>
    </r>
    <r>
      <rPr>
        <sz val="10"/>
        <rFont val="Arial"/>
        <family val="0"/>
        <charset val="1"/>
      </rPr>
      <t xml:space="preserve">ADO-13 2025/9 Lv3</t>
    </r>
    <r>
      <rPr>
        <sz val="10"/>
        <rFont val="WenQuanYi Zen Hei"/>
        <family val="2"/>
      </rPr>
      <t xml:space="preserve">／</t>
    </r>
    <r>
      <rPr>
        <sz val="10"/>
        <rFont val="Arial"/>
        <family val="0"/>
        <charset val="1"/>
      </rPr>
      <t xml:space="preserve">ADO-16 2026/3 Lv2 8</t>
    </r>
    <r>
      <rPr>
        <sz val="10"/>
        <rFont val="WenQuanYi Zen Hei"/>
        <family val="2"/>
      </rPr>
      <t xml:space="preserve">万／</t>
    </r>
    <r>
      <rPr>
        <sz val="10"/>
        <rFont val="Arial"/>
        <family val="0"/>
        <charset val="1"/>
      </rPr>
      <t xml:space="preserve">ADO-17 2026/4 Lv3 224</t>
    </r>
    <r>
      <rPr>
        <sz val="10"/>
        <rFont val="WenQuanYi Zen Hei"/>
        <family val="2"/>
      </rPr>
      <t xml:space="preserve">万／</t>
    </r>
    <r>
      <rPr>
        <sz val="10"/>
        <rFont val="Arial"/>
        <family val="0"/>
        <charset val="1"/>
      </rPr>
      <t xml:space="preserve">ADO-19 2026/5 Lv3 153</t>
    </r>
    <r>
      <rPr>
        <sz val="10"/>
        <rFont val="WenQuanYi Zen Hei"/>
        <family val="2"/>
      </rPr>
      <t xml:space="preserve">万／</t>
    </r>
    <r>
      <rPr>
        <sz val="10"/>
        <rFont val="Arial"/>
        <family val="0"/>
        <charset val="1"/>
      </rPr>
      <t xml:space="preserve">ADO-21 2026/6 Lv3 96</t>
    </r>
    <r>
      <rPr>
        <sz val="10"/>
        <rFont val="WenQuanYi Zen Hei"/>
        <family val="2"/>
      </rPr>
      <t xml:space="preserve">万／</t>
    </r>
    <r>
      <rPr>
        <sz val="10"/>
        <rFont val="Arial"/>
        <family val="0"/>
        <charset val="1"/>
      </rPr>
      <t xml:space="preserve">ADO-30 2026/10 Lv3 297</t>
    </r>
    <r>
      <rPr>
        <sz val="10"/>
        <rFont val="WenQuanYi Zen Hei"/>
        <family val="2"/>
      </rPr>
      <t xml:space="preserve">万／</t>
    </r>
    <r>
      <rPr>
        <sz val="10"/>
        <rFont val="Arial"/>
        <family val="0"/>
        <charset val="1"/>
      </rPr>
      <t xml:space="preserve">ADO-31 2026/10 Lv1</t>
    </r>
  </si>
  <si>
    <r>
      <rPr>
        <sz val="10"/>
        <rFont val="Arial"/>
        <family val="0"/>
        <charset val="1"/>
      </rPr>
      <t xml:space="preserve">2021</t>
    </r>
    <r>
      <rPr>
        <sz val="10"/>
        <rFont val="WenQuanYi Zen Hei"/>
        <family val="2"/>
      </rPr>
      <t xml:space="preserve">〜</t>
    </r>
    <r>
      <rPr>
        <sz val="10"/>
        <rFont val="Arial"/>
        <family val="0"/>
        <charset val="1"/>
      </rPr>
      <t xml:space="preserve">2025</t>
    </r>
    <r>
      <rPr>
        <sz val="10"/>
        <rFont val="WenQuanYi Zen Hei"/>
        <family val="2"/>
      </rPr>
      <t xml:space="preserve">：チェックリスト・</t>
    </r>
    <r>
      <rPr>
        <sz val="10"/>
        <rFont val="Arial"/>
        <family val="0"/>
        <charset val="1"/>
      </rPr>
      <t xml:space="preserve">W</t>
    </r>
    <r>
      <rPr>
        <sz val="10"/>
        <rFont val="WenQuanYi Zen Hei"/>
        <family val="2"/>
      </rPr>
      <t xml:space="preserve">チェック・振込前確認の徹底 ／ </t>
    </r>
    <r>
      <rPr>
        <sz val="10"/>
        <rFont val="Arial"/>
        <family val="0"/>
        <charset val="1"/>
      </rPr>
      <t xml:space="preserve">2026/5</t>
    </r>
    <r>
      <rPr>
        <sz val="10"/>
        <rFont val="WenQuanYi Zen Hei"/>
        <family val="2"/>
      </rPr>
      <t xml:space="preserve">：</t>
    </r>
    <r>
      <rPr>
        <sz val="10"/>
        <rFont val="Arial"/>
        <family val="0"/>
        <charset val="1"/>
      </rPr>
      <t xml:space="preserve">AI</t>
    </r>
    <r>
      <rPr>
        <sz val="10"/>
        <rFont val="WenQuanYi Zen Hei"/>
        <family val="2"/>
      </rPr>
      <t xml:space="preserve">チェック完成までトリプルチェック ／ </t>
    </r>
    <r>
      <rPr>
        <sz val="10"/>
        <rFont val="Arial"/>
        <family val="0"/>
        <charset val="1"/>
      </rPr>
      <t xml:space="preserve">2026/6</t>
    </r>
    <r>
      <rPr>
        <sz val="10"/>
        <rFont val="WenQuanYi Zen Hei"/>
        <family val="2"/>
      </rPr>
      <t xml:space="preserve">：</t>
    </r>
    <r>
      <rPr>
        <sz val="10"/>
        <rFont val="Arial"/>
        <family val="0"/>
        <charset val="1"/>
      </rPr>
      <t xml:space="preserve">100</t>
    </r>
    <r>
      <rPr>
        <sz val="10"/>
        <rFont val="WenQuanYi Zen Hei"/>
        <family val="2"/>
      </rPr>
      <t xml:space="preserve">万円以上の差異を自動検知、</t>
    </r>
    <r>
      <rPr>
        <sz val="10"/>
        <rFont val="Arial"/>
        <family val="0"/>
        <charset val="1"/>
      </rPr>
      <t xml:space="preserve">AI</t>
    </r>
    <r>
      <rPr>
        <sz val="10"/>
        <rFont val="WenQuanYi Zen Hei"/>
        <family val="2"/>
      </rPr>
      <t xml:space="preserve">に重複検知を追加 ／ </t>
    </r>
    <r>
      <rPr>
        <sz val="10"/>
        <rFont val="Arial"/>
        <family val="0"/>
        <charset val="1"/>
      </rPr>
      <t xml:space="preserve">2026/10</t>
    </r>
    <r>
      <rPr>
        <sz val="10"/>
        <rFont val="WenQuanYi Zen Hei"/>
        <family val="2"/>
      </rPr>
      <t xml:space="preserve">：</t>
    </r>
    <r>
      <rPr>
        <sz val="10"/>
        <rFont val="Arial"/>
        <family val="0"/>
        <charset val="1"/>
      </rPr>
      <t xml:space="preserve">AI</t>
    </r>
    <r>
      <rPr>
        <sz val="10"/>
        <rFont val="WenQuanYi Zen Hei"/>
        <family val="2"/>
      </rPr>
      <t xml:space="preserve">チェックのエラー件数</t>
    </r>
    <r>
      <rPr>
        <sz val="10"/>
        <rFont val="Arial"/>
        <family val="0"/>
        <charset val="1"/>
      </rPr>
      <t xml:space="preserve">10</t>
    </r>
    <r>
      <rPr>
        <sz val="10"/>
        <rFont val="WenQuanYi Zen Hei"/>
        <family val="2"/>
      </rPr>
      <t xml:space="preserve">件以内を目標</t>
    </r>
  </si>
  <si>
    <r>
      <rPr>
        <sz val="10"/>
        <rFont val="Arial"/>
        <family val="0"/>
        <charset val="1"/>
      </rPr>
      <t xml:space="preserve">2026</t>
    </r>
    <r>
      <rPr>
        <sz val="10"/>
        <rFont val="WenQuanYi Zen Hei"/>
        <family val="2"/>
      </rPr>
      <t xml:space="preserve">年だけで</t>
    </r>
    <r>
      <rPr>
        <sz val="10"/>
        <rFont val="Arial"/>
        <family val="0"/>
        <charset val="1"/>
      </rPr>
      <t xml:space="preserve">6</t>
    </r>
    <r>
      <rPr>
        <sz val="10"/>
        <rFont val="WenQuanYi Zen Hei"/>
        <family val="2"/>
      </rPr>
      <t xml:space="preserve">件・計約</t>
    </r>
    <r>
      <rPr>
        <sz val="10"/>
        <rFont val="Arial"/>
        <family val="0"/>
        <charset val="1"/>
      </rPr>
      <t xml:space="preserve">680</t>
    </r>
    <r>
      <rPr>
        <sz val="10"/>
        <rFont val="WenQuanYi Zen Hei"/>
        <family val="2"/>
      </rPr>
      <t xml:space="preserve">万円が一時的に社外へ。対策は「人の確認を増やす」から「</t>
    </r>
    <r>
      <rPr>
        <sz val="10"/>
        <rFont val="Arial"/>
        <family val="0"/>
        <charset val="1"/>
      </rPr>
      <t xml:space="preserve">AI</t>
    </r>
    <r>
      <rPr>
        <sz val="10"/>
        <rFont val="WenQuanYi Zen Hei"/>
        <family val="2"/>
      </rPr>
      <t xml:space="preserve">チェック」に移ったが、</t>
    </r>
    <r>
      <rPr>
        <sz val="10"/>
        <rFont val="Arial"/>
        <family val="0"/>
        <charset val="1"/>
      </rPr>
      <t xml:space="preserve">#30</t>
    </r>
    <r>
      <rPr>
        <sz val="10"/>
        <rFont val="WenQuanYi Zen Hei"/>
        <family val="2"/>
      </rPr>
      <t xml:space="preserve">では</t>
    </r>
    <r>
      <rPr>
        <sz val="10"/>
        <rFont val="Arial"/>
        <family val="0"/>
        <charset val="1"/>
      </rPr>
      <t xml:space="preserve">AI</t>
    </r>
    <r>
      <rPr>
        <sz val="10"/>
        <rFont val="WenQuanYi Zen Hei"/>
        <family val="2"/>
      </rPr>
      <t xml:space="preserve">が検出しても人が見逃した。</t>
    </r>
    <r>
      <rPr>
        <sz val="10"/>
        <rFont val="Arial"/>
        <family val="0"/>
        <charset val="1"/>
      </rPr>
      <t xml:space="preserve">AI</t>
    </r>
    <r>
      <rPr>
        <sz val="10"/>
        <rFont val="WenQuanYi Zen Hei"/>
        <family val="2"/>
      </rPr>
      <t xml:space="preserve">チェックの検出→判断→承認の記録と、資産照合・件数チェックの月次実施を現物で確認。</t>
    </r>
    <r>
      <rPr>
        <sz val="10"/>
        <rFont val="Arial"/>
        <family val="0"/>
        <charset val="1"/>
      </rPr>
      <t xml:space="preserve">ADO②No.15</t>
    </r>
    <r>
      <rPr>
        <sz val="10"/>
        <rFont val="WenQuanYi Zen Hei"/>
        <family val="2"/>
      </rPr>
      <t xml:space="preserve">（現預金）に直結。</t>
    </r>
  </si>
  <si>
    <r>
      <rPr>
        <sz val="10"/>
        <rFont val="WenQuanYi Zen Hei"/>
        <family val="2"/>
      </rPr>
      <t xml:space="preserve">給与・交通費の計算ミス（社労士／</t>
    </r>
    <r>
      <rPr>
        <sz val="10"/>
        <rFont val="Arial"/>
        <family val="0"/>
        <charset val="1"/>
      </rPr>
      <t xml:space="preserve">SCSK</t>
    </r>
    <r>
      <rPr>
        <sz val="10"/>
        <rFont val="WenQuanYi Zen Hei"/>
        <family val="2"/>
      </rPr>
      <t xml:space="preserve">連携）</t>
    </r>
  </si>
  <si>
    <r>
      <rPr>
        <sz val="10"/>
        <rFont val="Arial"/>
        <family val="0"/>
        <charset val="1"/>
      </rPr>
      <t xml:space="preserve">ADG-3 2021/3</t>
    </r>
    <r>
      <rPr>
        <sz val="10"/>
        <rFont val="WenQuanYi Zen Hei"/>
        <family val="2"/>
      </rPr>
      <t xml:space="preserve">／</t>
    </r>
    <r>
      <rPr>
        <sz val="10"/>
        <rFont val="Arial"/>
        <family val="0"/>
        <charset val="1"/>
      </rPr>
      <t xml:space="preserve">ADG-5,6,7 2021/11</t>
    </r>
    <r>
      <rPr>
        <sz val="10"/>
        <rFont val="WenQuanYi Zen Hei"/>
        <family val="2"/>
      </rPr>
      <t xml:space="preserve">／</t>
    </r>
    <r>
      <rPr>
        <sz val="10"/>
        <rFont val="Arial"/>
        <family val="0"/>
        <charset val="1"/>
      </rPr>
      <t xml:space="preserve">ADG-8 2022/2</t>
    </r>
    <r>
      <rPr>
        <sz val="10"/>
        <rFont val="WenQuanYi Zen Hei"/>
        <family val="2"/>
      </rPr>
      <t xml:space="preserve">／</t>
    </r>
    <r>
      <rPr>
        <sz val="10"/>
        <rFont val="Arial"/>
        <family val="0"/>
        <charset val="1"/>
      </rPr>
      <t xml:space="preserve">ADG-12 2022/12</t>
    </r>
    <r>
      <rPr>
        <sz val="10"/>
        <rFont val="WenQuanYi Zen Hei"/>
        <family val="2"/>
      </rPr>
      <t xml:space="preserve">／</t>
    </r>
    <r>
      <rPr>
        <sz val="10"/>
        <rFont val="Arial"/>
        <family val="0"/>
        <charset val="1"/>
      </rPr>
      <t xml:space="preserve">ADO-7 2025/3 Lv3</t>
    </r>
    <r>
      <rPr>
        <sz val="10"/>
        <rFont val="WenQuanYi Zen Hei"/>
        <family val="2"/>
      </rPr>
      <t xml:space="preserve">／</t>
    </r>
    <r>
      <rPr>
        <sz val="10"/>
        <rFont val="Arial"/>
        <family val="0"/>
        <charset val="1"/>
      </rPr>
      <t xml:space="preserve">ADO-15 2025/11 Lv3</t>
    </r>
    <r>
      <rPr>
        <sz val="10"/>
        <rFont val="WenQuanYi Zen Hei"/>
        <family val="2"/>
      </rPr>
      <t xml:space="preserve">／</t>
    </r>
    <r>
      <rPr>
        <sz val="10"/>
        <rFont val="Arial"/>
        <family val="0"/>
        <charset val="1"/>
      </rPr>
      <t xml:space="preserve">ADO-18 2026/4 Lv3</t>
    </r>
    <r>
      <rPr>
        <sz val="10"/>
        <rFont val="WenQuanYi Zen Hei"/>
        <family val="2"/>
      </rPr>
      <t xml:space="preserve">／</t>
    </r>
    <r>
      <rPr>
        <sz val="10"/>
        <rFont val="Arial"/>
        <family val="0"/>
        <charset val="1"/>
      </rPr>
      <t xml:space="preserve">ADO-20 2026/5 Lv3</t>
    </r>
    <r>
      <rPr>
        <sz val="10"/>
        <rFont val="WenQuanYi Zen Hei"/>
        <family val="2"/>
      </rPr>
      <t xml:space="preserve">／</t>
    </r>
    <r>
      <rPr>
        <sz val="10"/>
        <rFont val="Arial"/>
        <family val="0"/>
        <charset val="1"/>
      </rPr>
      <t xml:space="preserve">ADO-22 2026/6 Lv3</t>
    </r>
    <r>
      <rPr>
        <sz val="10"/>
        <rFont val="WenQuanYi Zen Hei"/>
        <family val="2"/>
      </rPr>
      <t xml:space="preserve">／</t>
    </r>
    <r>
      <rPr>
        <sz val="10"/>
        <rFont val="Arial"/>
        <family val="0"/>
        <charset val="1"/>
      </rPr>
      <t xml:space="preserve">ADO-29 2026/9 Lv3</t>
    </r>
  </si>
  <si>
    <r>
      <rPr>
        <sz val="10"/>
        <rFont val="Arial"/>
        <family val="0"/>
        <charset val="1"/>
      </rPr>
      <t xml:space="preserve">2021</t>
    </r>
    <r>
      <rPr>
        <sz val="10"/>
        <rFont val="WenQuanYi Zen Hei"/>
        <family val="2"/>
      </rPr>
      <t xml:space="preserve">〜</t>
    </r>
    <r>
      <rPr>
        <sz val="10"/>
        <rFont val="Arial"/>
        <family val="0"/>
        <charset val="1"/>
      </rPr>
      <t xml:space="preserve">2022</t>
    </r>
    <r>
      <rPr>
        <sz val="10"/>
        <rFont val="WenQuanYi Zen Hei"/>
        <family val="2"/>
      </rPr>
      <t xml:space="preserve">：社労士連携シートの</t>
    </r>
    <r>
      <rPr>
        <sz val="10"/>
        <rFont val="Arial"/>
        <family val="0"/>
        <charset val="1"/>
      </rPr>
      <t xml:space="preserve">W</t>
    </r>
    <r>
      <rPr>
        <sz val="10"/>
        <rFont val="WenQuanYi Zen Hei"/>
        <family val="2"/>
      </rPr>
      <t xml:space="preserve">チェック ／ </t>
    </r>
    <r>
      <rPr>
        <sz val="10"/>
        <rFont val="Arial"/>
        <family val="0"/>
        <charset val="1"/>
      </rPr>
      <t xml:space="preserve">2025</t>
    </r>
    <r>
      <rPr>
        <sz val="10"/>
        <rFont val="WenQuanYi Zen Hei"/>
        <family val="2"/>
      </rPr>
      <t xml:space="preserve">：給与台帳と支払金額の突合 ／ </t>
    </r>
    <r>
      <rPr>
        <sz val="10"/>
        <rFont val="Arial"/>
        <family val="0"/>
        <charset val="1"/>
      </rPr>
      <t xml:space="preserve">2026</t>
    </r>
    <r>
      <rPr>
        <sz val="10"/>
        <rFont val="WenQuanYi Zen Hei"/>
        <family val="2"/>
      </rPr>
      <t xml:space="preserve">：関数修正・</t>
    </r>
    <r>
      <rPr>
        <sz val="10"/>
        <rFont val="Arial"/>
        <family val="0"/>
        <charset val="1"/>
      </rPr>
      <t xml:space="preserve">SmartHR</t>
    </r>
    <r>
      <rPr>
        <sz val="10"/>
        <rFont val="WenQuanYi Zen Hei"/>
        <family val="2"/>
      </rPr>
      <t xml:space="preserve">経由に統一・イレギュラーチェックリスト・日割りマニュアル</t>
    </r>
  </si>
  <si>
    <r>
      <rPr>
        <sz val="10"/>
        <rFont val="WenQuanYi Zen Hei"/>
        <family val="2"/>
      </rPr>
      <t xml:space="preserve">外注先（</t>
    </r>
    <r>
      <rPr>
        <sz val="10"/>
        <rFont val="Arial"/>
        <family val="0"/>
        <charset val="1"/>
      </rPr>
      <t xml:space="preserve">SCSK</t>
    </r>
    <r>
      <rPr>
        <sz val="10"/>
        <rFont val="WenQuanYi Zen Hei"/>
        <family val="2"/>
      </rPr>
      <t xml:space="preserve">）への連携シートが起点のミスが</t>
    </r>
    <r>
      <rPr>
        <sz val="10"/>
        <rFont val="Arial"/>
        <family val="0"/>
        <charset val="1"/>
      </rPr>
      <t xml:space="preserve">5</t>
    </r>
    <r>
      <rPr>
        <sz val="10"/>
        <rFont val="WenQuanYi Zen Hei"/>
        <family val="2"/>
      </rPr>
      <t xml:space="preserve">年間続く。</t>
    </r>
    <r>
      <rPr>
        <sz val="10"/>
        <rFont val="Arial"/>
        <family val="0"/>
        <charset val="1"/>
      </rPr>
      <t xml:space="preserve">2026</t>
    </r>
    <r>
      <rPr>
        <sz val="10"/>
        <rFont val="WenQuanYi Zen Hei"/>
        <family val="2"/>
      </rPr>
      <t xml:space="preserve">年は対策が「チェックリスト化・関数化」に進んだので、その現物と毎月の実施記録を確認。</t>
    </r>
    <r>
      <rPr>
        <sz val="10"/>
        <rFont val="Arial"/>
        <family val="0"/>
        <charset val="1"/>
      </rPr>
      <t xml:space="preserve">ADO②No.20</t>
    </r>
    <r>
      <rPr>
        <sz val="10"/>
        <rFont val="WenQuanYi Zen Hei"/>
        <family val="2"/>
      </rPr>
      <t xml:space="preserve">（労務）に関連。</t>
    </r>
  </si>
  <si>
    <t xml:space="preserve">資金繰り・金融機関との約束</t>
  </si>
  <si>
    <r>
      <rPr>
        <sz val="10"/>
        <rFont val="Arial"/>
        <family val="0"/>
        <charset val="1"/>
      </rPr>
      <t xml:space="preserve">ADG-14 2023/6 Lv3</t>
    </r>
    <r>
      <rPr>
        <sz val="10"/>
        <rFont val="WenQuanYi Zen Hei"/>
        <family val="2"/>
      </rPr>
      <t xml:space="preserve">（給与支払遅延未遂）／</t>
    </r>
    <r>
      <rPr>
        <sz val="10"/>
        <rFont val="Arial"/>
        <family val="0"/>
        <charset val="1"/>
      </rPr>
      <t xml:space="preserve">ADG-19 2024/5 Lv3</t>
    </r>
    <r>
      <rPr>
        <sz val="10"/>
        <rFont val="WenQuanYi Zen Hei"/>
        <family val="2"/>
      </rPr>
      <t xml:space="preserve">（同じ事象が再発）／</t>
    </r>
    <r>
      <rPr>
        <sz val="10"/>
        <rFont val="Arial"/>
        <family val="0"/>
        <charset val="1"/>
      </rPr>
      <t xml:space="preserve">ADO-23 2026/4 Lv3</t>
    </r>
    <r>
      <rPr>
        <sz val="10"/>
        <rFont val="WenQuanYi Zen Hei"/>
        <family val="2"/>
      </rPr>
      <t xml:space="preserve">（銀行遵守事項違反）</t>
    </r>
  </si>
  <si>
    <r>
      <rPr>
        <sz val="10"/>
        <rFont val="Arial"/>
        <family val="0"/>
        <charset val="1"/>
      </rPr>
      <t xml:space="preserve">2023</t>
    </r>
    <r>
      <rPr>
        <sz val="10"/>
        <rFont val="WenQuanYi Zen Hei"/>
        <family val="2"/>
      </rPr>
      <t xml:space="preserve">：月次決算後の資金移動＋支払時の残高付箋 ／ </t>
    </r>
    <r>
      <rPr>
        <sz val="10"/>
        <rFont val="Arial"/>
        <family val="0"/>
        <charset val="1"/>
      </rPr>
      <t xml:space="preserve">2024</t>
    </r>
    <r>
      <rPr>
        <sz val="10"/>
        <rFont val="WenQuanYi Zen Hei"/>
        <family val="2"/>
      </rPr>
      <t xml:space="preserve">：「運用の問題」としてカレンダーで毎月資金移動 ／ </t>
    </r>
    <r>
      <rPr>
        <sz val="10"/>
        <rFont val="Arial"/>
        <family val="0"/>
        <charset val="1"/>
      </rPr>
      <t xml:space="preserve">2026</t>
    </r>
    <r>
      <rPr>
        <sz val="10"/>
        <rFont val="WenQuanYi Zen Hei"/>
        <family val="2"/>
      </rPr>
      <t xml:space="preserve">：金融機関契約の全件洗い出し、月</t>
    </r>
    <r>
      <rPr>
        <sz val="10"/>
        <rFont val="Arial"/>
        <family val="0"/>
        <charset val="1"/>
      </rPr>
      <t xml:space="preserve">2</t>
    </r>
    <r>
      <rPr>
        <sz val="10"/>
        <rFont val="WenQuanYi Zen Hei"/>
        <family val="2"/>
      </rPr>
      <t xml:space="preserve">回の資金繰り確認で遵守事項を確認</t>
    </r>
  </si>
  <si>
    <r>
      <rPr>
        <sz val="10"/>
        <rFont val="Arial"/>
        <family val="0"/>
        <charset val="1"/>
      </rPr>
      <t xml:space="preserve">2023→2024</t>
    </r>
    <r>
      <rPr>
        <sz val="10"/>
        <rFont val="WenQuanYi Zen Hei"/>
        <family val="2"/>
      </rPr>
      <t xml:space="preserve">は恒久対応が運用で守られず再発。</t>
    </r>
    <r>
      <rPr>
        <sz val="10"/>
        <rFont val="Arial"/>
        <family val="0"/>
        <charset val="1"/>
      </rPr>
      <t xml:space="preserve">2026</t>
    </r>
    <r>
      <rPr>
        <sz val="10"/>
        <rFont val="WenQuanYi Zen Hei"/>
        <family val="2"/>
      </rPr>
      <t xml:space="preserve">は財務制限条項の未管理という上場会社として重い事象。遵守事項一覧の現物、月</t>
    </r>
    <r>
      <rPr>
        <sz val="10"/>
        <rFont val="Arial"/>
        <family val="0"/>
        <charset val="1"/>
      </rPr>
      <t xml:space="preserve">2</t>
    </r>
    <r>
      <rPr>
        <sz val="10"/>
        <rFont val="WenQuanYi Zen Hei"/>
        <family val="2"/>
      </rPr>
      <t xml:space="preserve">回の確認記録、取締役会・監査役への報告。</t>
    </r>
    <r>
      <rPr>
        <sz val="10"/>
        <rFont val="Arial"/>
        <family val="0"/>
        <charset val="1"/>
      </rPr>
      <t xml:space="preserve">ADO②No.15</t>
    </r>
    <r>
      <rPr>
        <sz val="10"/>
        <rFont val="WenQuanYi Zen Hei"/>
        <family val="2"/>
      </rPr>
      <t xml:space="preserve">・</t>
    </r>
    <r>
      <rPr>
        <sz val="10"/>
        <rFont val="Arial"/>
        <family val="0"/>
        <charset val="1"/>
      </rPr>
      <t xml:space="preserve">17</t>
    </r>
    <r>
      <rPr>
        <sz val="10"/>
        <rFont val="WenQuanYi Zen Hei"/>
        <family val="2"/>
      </rPr>
      <t xml:space="preserve">に直結。</t>
    </r>
  </si>
  <si>
    <t xml:space="preserve">契約更新・稟議（事後稟議）</t>
  </si>
  <si>
    <r>
      <rPr>
        <sz val="10"/>
        <rFont val="Arial"/>
        <family val="0"/>
        <charset val="1"/>
      </rPr>
      <t xml:space="preserve">ADG-16 2023/11 Lv3</t>
    </r>
    <r>
      <rPr>
        <sz val="10"/>
        <rFont val="WenQuanYi Zen Hei"/>
        <family val="2"/>
      </rPr>
      <t xml:space="preserve">（事後稟議）／</t>
    </r>
    <r>
      <rPr>
        <sz val="10"/>
        <rFont val="Arial"/>
        <family val="0"/>
        <charset val="1"/>
      </rPr>
      <t xml:space="preserve">ADO-11 2025/8 Lv3</t>
    </r>
    <r>
      <rPr>
        <sz val="10"/>
        <rFont val="WenQuanYi Zen Hei"/>
        <family val="2"/>
      </rPr>
      <t xml:space="preserve">（インターン契約更新漏れ）／</t>
    </r>
    <r>
      <rPr>
        <sz val="10"/>
        <rFont val="Arial"/>
        <family val="0"/>
        <charset val="1"/>
      </rPr>
      <t xml:space="preserve">ADO-14 2025/10 Lv3</t>
    </r>
    <r>
      <rPr>
        <sz val="10"/>
        <rFont val="WenQuanYi Zen Hei"/>
        <family val="2"/>
      </rPr>
      <t xml:space="preserve">（スタイリスト</t>
    </r>
    <r>
      <rPr>
        <sz val="10"/>
        <rFont val="Arial"/>
        <family val="0"/>
        <charset val="1"/>
      </rPr>
      <t xml:space="preserve">8</t>
    </r>
    <r>
      <rPr>
        <sz val="10"/>
        <rFont val="WenQuanYi Zen Hei"/>
        <family val="2"/>
      </rPr>
      <t xml:space="preserve">名の契約更新漏れ）／</t>
    </r>
    <r>
      <rPr>
        <sz val="10"/>
        <rFont val="Arial"/>
        <family val="0"/>
        <charset val="1"/>
      </rPr>
      <t xml:space="preserve">ADO-25 2026/7 Lv3</t>
    </r>
    <r>
      <rPr>
        <sz val="10"/>
        <rFont val="WenQuanYi Zen Hei"/>
        <family val="2"/>
      </rPr>
      <t xml:space="preserve">（ジョブカン承認前に契約締結）</t>
    </r>
  </si>
  <si>
    <r>
      <rPr>
        <sz val="10"/>
        <rFont val="Arial"/>
        <family val="0"/>
        <charset val="1"/>
      </rPr>
      <t xml:space="preserve">2023</t>
    </r>
    <r>
      <rPr>
        <sz val="10"/>
        <rFont val="WenQuanYi Zen Hei"/>
        <family val="2"/>
      </rPr>
      <t xml:space="preserve">：契約</t>
    </r>
    <r>
      <rPr>
        <sz val="10"/>
        <rFont val="Arial"/>
        <family val="0"/>
        <charset val="1"/>
      </rPr>
      <t xml:space="preserve">Slack</t>
    </r>
    <r>
      <rPr>
        <sz val="10"/>
        <rFont val="WenQuanYi Zen Hei"/>
        <family val="2"/>
      </rPr>
      <t xml:space="preserve">をリーダーが月次確認 ／ </t>
    </r>
    <r>
      <rPr>
        <sz val="10"/>
        <rFont val="Arial"/>
        <family val="0"/>
        <charset val="1"/>
      </rPr>
      <t xml:space="preserve">2025</t>
    </r>
    <r>
      <rPr>
        <sz val="10"/>
        <rFont val="WenQuanYi Zen Hei"/>
        <family val="2"/>
      </rPr>
      <t xml:space="preserve">：入退社チェックリストへの転記、</t>
    </r>
    <r>
      <rPr>
        <sz val="10"/>
        <rFont val="Arial"/>
        <family val="0"/>
        <charset val="1"/>
      </rPr>
      <t xml:space="preserve">JOBCAN</t>
    </r>
    <r>
      <rPr>
        <sz val="10"/>
        <rFont val="WenQuanYi Zen Hei"/>
        <family val="2"/>
      </rPr>
      <t xml:space="preserve">最終版添付の徹底・電子契約の台帳網羅性の月次確認・</t>
    </r>
    <r>
      <rPr>
        <sz val="10"/>
        <rFont val="Arial"/>
        <family val="0"/>
        <charset val="1"/>
      </rPr>
      <t xml:space="preserve">Bot</t>
    </r>
    <r>
      <rPr>
        <sz val="10"/>
        <rFont val="WenQuanYi Zen Hei"/>
        <family val="2"/>
      </rPr>
      <t xml:space="preserve">アラート再構築 ／ </t>
    </r>
    <r>
      <rPr>
        <sz val="10"/>
        <rFont val="Arial"/>
        <family val="0"/>
        <charset val="1"/>
      </rPr>
      <t xml:space="preserve">2026</t>
    </r>
    <r>
      <rPr>
        <sz val="10"/>
        <rFont val="WenQuanYi Zen Hei"/>
        <family val="2"/>
      </rPr>
      <t xml:space="preserve">：「運用徹底」のみ（恒久対応策空欄）</t>
    </r>
  </si>
  <si>
    <r>
      <rPr>
        <sz val="10"/>
        <rFont val="Arial"/>
        <family val="0"/>
        <charset val="1"/>
      </rPr>
      <t xml:space="preserve">ADO</t>
    </r>
    <r>
      <rPr>
        <sz val="10"/>
        <rFont val="WenQuanYi Zen Hei"/>
        <family val="2"/>
      </rPr>
      <t xml:space="preserve">自身が全社に求める「事後稟議禁止」「契約一覧表での期限管理」（</t>
    </r>
    <r>
      <rPr>
        <sz val="10"/>
        <rFont val="Arial"/>
        <family val="0"/>
        <charset val="1"/>
      </rPr>
      <t xml:space="preserve">ADO②No.14</t>
    </r>
    <r>
      <rPr>
        <sz val="10"/>
        <rFont val="WenQuanYi Zen Hei"/>
        <family val="2"/>
      </rPr>
      <t xml:space="preserve">・</t>
    </r>
    <r>
      <rPr>
        <sz val="10"/>
        <rFont val="Arial"/>
        <family val="0"/>
        <charset val="1"/>
      </rPr>
      <t xml:space="preserve">28</t>
    </r>
    <r>
      <rPr>
        <sz val="10"/>
        <rFont val="WenQuanYi Zen Hei"/>
        <family val="2"/>
      </rPr>
      <t xml:space="preserve">）が、自部門で破られている。台帳の月次網羅性確認と</t>
    </r>
    <r>
      <rPr>
        <sz val="10"/>
        <rFont val="Arial"/>
        <family val="0"/>
        <charset val="1"/>
      </rPr>
      <t xml:space="preserve">Bot</t>
    </r>
    <r>
      <rPr>
        <sz val="10"/>
        <rFont val="WenQuanYi Zen Hei"/>
        <family val="2"/>
      </rPr>
      <t xml:space="preserve">の実装状況を現物で確認。</t>
    </r>
    <r>
      <rPr>
        <sz val="10"/>
        <rFont val="Arial"/>
        <family val="0"/>
        <charset val="1"/>
      </rPr>
      <t xml:space="preserve">#25</t>
    </r>
    <r>
      <rPr>
        <sz val="10"/>
        <rFont val="WenQuanYi Zen Hei"/>
        <family val="2"/>
      </rPr>
      <t xml:space="preserve">は起票者が倉石のため森本が確認。</t>
    </r>
  </si>
  <si>
    <t xml:space="preserve">開示・税務の手続きミス</t>
  </si>
  <si>
    <r>
      <rPr>
        <sz val="10"/>
        <rFont val="Arial"/>
        <family val="0"/>
        <charset val="1"/>
      </rPr>
      <t xml:space="preserve">ADO-10 2025/8 Lv3</t>
    </r>
    <r>
      <rPr>
        <sz val="10"/>
        <rFont val="WenQuanYi Zen Hei"/>
        <family val="2"/>
      </rPr>
      <t xml:space="preserve">（適時開示漏れ・東証指摘）／</t>
    </r>
    <r>
      <rPr>
        <sz val="10"/>
        <rFont val="Arial"/>
        <family val="0"/>
        <charset val="1"/>
      </rPr>
      <t xml:space="preserve">ADO-12 2025/9 Lv2</t>
    </r>
    <r>
      <rPr>
        <sz val="10"/>
        <rFont val="WenQuanYi Zen Hei"/>
        <family val="2"/>
      </rPr>
      <t xml:space="preserve">（源泉所得税の申告未受理・延滞税）／</t>
    </r>
    <r>
      <rPr>
        <sz val="10"/>
        <rFont val="Arial"/>
        <family val="0"/>
        <charset val="1"/>
      </rPr>
      <t xml:space="preserve">ADO-24 2026/7 Lv3</t>
    </r>
    <r>
      <rPr>
        <sz val="10"/>
        <rFont val="WenQuanYi Zen Hei"/>
        <family val="2"/>
      </rPr>
      <t xml:space="preserve">（</t>
    </r>
    <r>
      <rPr>
        <sz val="10"/>
        <rFont val="Arial"/>
        <family val="0"/>
        <charset val="1"/>
      </rPr>
      <t xml:space="preserve">Meta</t>
    </r>
    <r>
      <rPr>
        <sz val="10"/>
        <rFont val="WenQuanYi Zen Hei"/>
        <family val="2"/>
      </rPr>
      <t xml:space="preserve">広告費の消費税区分誤り）／</t>
    </r>
    <r>
      <rPr>
        <sz val="10"/>
        <rFont val="Arial"/>
        <family val="0"/>
        <charset val="1"/>
      </rPr>
      <t xml:space="preserve">ADG-11 2022/11 Lv2</t>
    </r>
    <r>
      <rPr>
        <sz val="10"/>
        <rFont val="WenQuanYi Zen Hei"/>
        <family val="2"/>
      </rPr>
      <t xml:space="preserve">（事業所税の申告誤り）</t>
    </r>
  </si>
  <si>
    <r>
      <rPr>
        <sz val="10"/>
        <rFont val="Arial"/>
        <family val="0"/>
        <charset val="1"/>
      </rPr>
      <t xml:space="preserve">2022</t>
    </r>
    <r>
      <rPr>
        <sz val="10"/>
        <rFont val="WenQuanYi Zen Hei"/>
        <family val="2"/>
      </rPr>
      <t xml:space="preserve">：顧問税理士チェック・マニュアル ／ </t>
    </r>
    <r>
      <rPr>
        <sz val="10"/>
        <rFont val="Arial"/>
        <family val="0"/>
        <charset val="1"/>
      </rPr>
      <t xml:space="preserve">2025</t>
    </r>
    <r>
      <rPr>
        <sz val="10"/>
        <rFont val="WenQuanYi Zen Hei"/>
        <family val="2"/>
      </rPr>
      <t xml:space="preserve">：取締役会</t>
    </r>
    <r>
      <rPr>
        <sz val="10"/>
        <rFont val="Arial"/>
        <family val="0"/>
        <charset val="1"/>
      </rPr>
      <t xml:space="preserve">2</t>
    </r>
    <r>
      <rPr>
        <sz val="10"/>
        <rFont val="WenQuanYi Zen Hei"/>
        <family val="2"/>
      </rPr>
      <t xml:space="preserve">営業日前の確認時間、生成</t>
    </r>
    <r>
      <rPr>
        <sz val="10"/>
        <rFont val="Arial"/>
        <family val="0"/>
        <charset val="1"/>
      </rPr>
      <t xml:space="preserve">AI</t>
    </r>
    <r>
      <rPr>
        <sz val="10"/>
        <rFont val="WenQuanYi Zen Hei"/>
        <family val="2"/>
      </rPr>
      <t xml:space="preserve">で開示要否確認 ／ </t>
    </r>
    <r>
      <rPr>
        <sz val="10"/>
        <rFont val="Arial"/>
        <family val="0"/>
        <charset val="1"/>
      </rPr>
      <t xml:space="preserve">#12</t>
    </r>
    <r>
      <rPr>
        <sz val="10"/>
        <rFont val="WenQuanYi Zen Hei"/>
        <family val="2"/>
      </rPr>
      <t xml:space="preserve">は恒久対応策なし ／ </t>
    </r>
    <r>
      <rPr>
        <sz val="10"/>
        <rFont val="Arial"/>
        <family val="0"/>
        <charset val="1"/>
      </rPr>
      <t xml:space="preserve">2026</t>
    </r>
    <r>
      <rPr>
        <sz val="10"/>
        <rFont val="WenQuanYi Zen Hei"/>
        <family val="2"/>
      </rPr>
      <t xml:space="preserve">：</t>
    </r>
    <r>
      <rPr>
        <sz val="10"/>
        <rFont val="Arial"/>
        <family val="0"/>
        <charset val="1"/>
      </rPr>
      <t xml:space="preserve">AI</t>
    </r>
    <r>
      <rPr>
        <sz val="10"/>
        <rFont val="WenQuanYi Zen Hei"/>
        <family val="2"/>
      </rPr>
      <t xml:space="preserve">チェックに税区分・インボイス整合性を追加</t>
    </r>
  </si>
  <si>
    <r>
      <rPr>
        <sz val="10"/>
        <rFont val="WenQuanYi Zen Hei"/>
        <family val="2"/>
      </rPr>
      <t xml:space="preserve">上場会社の開示・税務は</t>
    </r>
    <r>
      <rPr>
        <sz val="10"/>
        <rFont val="Arial"/>
        <family val="0"/>
        <charset val="1"/>
      </rPr>
      <t xml:space="preserve">1</t>
    </r>
    <r>
      <rPr>
        <sz val="10"/>
        <rFont val="WenQuanYi Zen Hei"/>
        <family val="2"/>
      </rPr>
      <t xml:space="preserve">件でも影響が大きい。</t>
    </r>
    <r>
      <rPr>
        <sz val="10"/>
        <rFont val="Arial"/>
        <family val="0"/>
        <charset val="1"/>
      </rPr>
      <t xml:space="preserve">#10</t>
    </r>
    <r>
      <rPr>
        <sz val="10"/>
        <rFont val="WenQuanYi Zen Hei"/>
        <family val="2"/>
      </rPr>
      <t xml:space="preserve">の確認時間の運用記録、</t>
    </r>
    <r>
      <rPr>
        <sz val="10"/>
        <rFont val="Arial"/>
        <family val="0"/>
        <charset val="1"/>
      </rPr>
      <t xml:space="preserve">#12</t>
    </r>
    <r>
      <rPr>
        <sz val="10"/>
        <rFont val="WenQuanYi Zen Hei"/>
        <family val="2"/>
      </rPr>
      <t xml:space="preserve">の出金記録照合、</t>
    </r>
    <r>
      <rPr>
        <sz val="10"/>
        <rFont val="Arial"/>
        <family val="0"/>
        <charset val="1"/>
      </rPr>
      <t xml:space="preserve">#24</t>
    </r>
    <r>
      <rPr>
        <sz val="10"/>
        <rFont val="WenQuanYi Zen Hei"/>
        <family val="2"/>
      </rPr>
      <t xml:space="preserve">の</t>
    </r>
    <r>
      <rPr>
        <sz val="10"/>
        <rFont val="Arial"/>
        <family val="0"/>
        <charset val="1"/>
      </rPr>
      <t xml:space="preserve">AI</t>
    </r>
    <r>
      <rPr>
        <sz val="10"/>
        <rFont val="WenQuanYi Zen Hei"/>
        <family val="2"/>
      </rPr>
      <t xml:space="preserve">チェック実装（完了予定</t>
    </r>
    <r>
      <rPr>
        <sz val="10"/>
        <rFont val="Arial"/>
        <family val="0"/>
        <charset val="1"/>
      </rPr>
      <t xml:space="preserve">2026/7/31</t>
    </r>
    <r>
      <rPr>
        <sz val="10"/>
        <rFont val="WenQuanYi Zen Hei"/>
        <family val="2"/>
      </rPr>
      <t xml:space="preserve">超過）。</t>
    </r>
    <r>
      <rPr>
        <sz val="10"/>
        <rFont val="Arial"/>
        <family val="0"/>
        <charset val="1"/>
      </rPr>
      <t xml:space="preserve">ADO②No.18</t>
    </r>
    <r>
      <rPr>
        <sz val="10"/>
        <rFont val="WenQuanYi Zen Hei"/>
        <family val="2"/>
      </rPr>
      <t xml:space="preserve">（会計方針）に関連。</t>
    </r>
  </si>
  <si>
    <r>
      <rPr>
        <sz val="10"/>
        <rFont val="WenQuanYi Zen Hei"/>
        <family val="2"/>
      </rPr>
      <t xml:space="preserve">入退社・労務手続き（台帳・</t>
    </r>
    <r>
      <rPr>
        <sz val="10"/>
        <rFont val="Arial"/>
        <family val="0"/>
        <charset val="1"/>
      </rPr>
      <t xml:space="preserve">WF</t>
    </r>
    <r>
      <rPr>
        <sz val="10"/>
        <rFont val="WenQuanYi Zen Hei"/>
        <family val="2"/>
      </rPr>
      <t xml:space="preserve">）</t>
    </r>
  </si>
  <si>
    <r>
      <rPr>
        <sz val="10"/>
        <rFont val="Arial"/>
        <family val="0"/>
        <charset val="1"/>
      </rPr>
      <t xml:space="preserve">ADO-11 2025/8</t>
    </r>
    <r>
      <rPr>
        <sz val="10"/>
        <rFont val="WenQuanYi Zen Hei"/>
        <family val="2"/>
      </rPr>
      <t xml:space="preserve">（契約更新）／</t>
    </r>
    <r>
      <rPr>
        <sz val="10"/>
        <rFont val="Arial"/>
        <family val="0"/>
        <charset val="1"/>
      </rPr>
      <t xml:space="preserve">ADO-26 2026/8 Lv2</t>
    </r>
    <r>
      <rPr>
        <sz val="10"/>
        <rFont val="WenQuanYi Zen Hei"/>
        <family val="2"/>
      </rPr>
      <t xml:space="preserve">（住民税異動届）／</t>
    </r>
    <r>
      <rPr>
        <sz val="10"/>
        <rFont val="Arial"/>
        <family val="0"/>
        <charset val="1"/>
      </rPr>
      <t xml:space="preserve">ADO-28 2026/8 Lv1</t>
    </r>
    <r>
      <rPr>
        <sz val="10"/>
        <rFont val="WenQuanYi Zen Hei"/>
        <family val="2"/>
      </rPr>
      <t xml:space="preserve">（社保加入漏れ）／</t>
    </r>
    <r>
      <rPr>
        <sz val="10"/>
        <rFont val="Arial"/>
        <family val="0"/>
        <charset val="1"/>
      </rPr>
      <t xml:space="preserve">ADO-32 2026/10 Lv1</t>
    </r>
    <r>
      <rPr>
        <sz val="10"/>
        <rFont val="WenQuanYi Zen Hei"/>
        <family val="2"/>
      </rPr>
      <t xml:space="preserve">（有給付与重複）</t>
    </r>
  </si>
  <si>
    <r>
      <rPr>
        <sz val="10"/>
        <rFont val="WenQuanYi Zen Hei"/>
        <family val="2"/>
      </rPr>
      <t xml:space="preserve">入退社チェックリスト・</t>
    </r>
    <r>
      <rPr>
        <sz val="10"/>
        <rFont val="Arial"/>
        <family val="0"/>
        <charset val="1"/>
      </rPr>
      <t xml:space="preserve">WF</t>
    </r>
    <r>
      <rPr>
        <sz val="10"/>
        <rFont val="WenQuanYi Zen Hei"/>
        <family val="2"/>
      </rPr>
      <t xml:space="preserve">に項目追加、入退社スプシに関数で自動表示、マニュアル追加</t>
    </r>
  </si>
  <si>
    <r>
      <rPr>
        <sz val="10"/>
        <rFont val="WenQuanYi Zen Hei"/>
        <family val="2"/>
      </rPr>
      <t xml:space="preserve">対策が「チェックリスト・</t>
    </r>
    <r>
      <rPr>
        <sz val="10"/>
        <rFont val="Arial"/>
        <family val="0"/>
        <charset val="1"/>
      </rPr>
      <t xml:space="preserve">WF</t>
    </r>
    <r>
      <rPr>
        <sz val="10"/>
        <rFont val="WenQuanYi Zen Hei"/>
        <family val="2"/>
      </rPr>
      <t xml:space="preserve">・関数」という構造的な形になっている好例。実際に項目が追加され、直近の入退社で使われたかを確認。</t>
    </r>
  </si>
  <si>
    <r>
      <rPr>
        <sz val="10"/>
        <rFont val="Arial"/>
        <family val="0"/>
        <charset val="1"/>
      </rPr>
      <t xml:space="preserve">ADO-4 2024/12 Lv3</t>
    </r>
    <r>
      <rPr>
        <sz val="10"/>
        <rFont val="WenQuanYi Zen Hei"/>
        <family val="2"/>
      </rPr>
      <t xml:space="preserve">（候補者名の誤記）／</t>
    </r>
    <r>
      <rPr>
        <sz val="10"/>
        <rFont val="Arial"/>
        <family val="0"/>
        <charset val="1"/>
      </rPr>
      <t xml:space="preserve">ADO-33 2026/10 Lv1</t>
    </r>
    <r>
      <rPr>
        <sz val="10"/>
        <rFont val="WenQuanYi Zen Hei"/>
        <family val="2"/>
      </rPr>
      <t xml:space="preserve">（休職者を退職者として全社発信）／</t>
    </r>
    <r>
      <rPr>
        <sz val="10"/>
        <rFont val="Arial"/>
        <family val="0"/>
        <charset val="1"/>
      </rPr>
      <t xml:space="preserve">ADO-2 2024/11 Lv3</t>
    </r>
    <r>
      <rPr>
        <sz val="10"/>
        <rFont val="WenQuanYi Zen Hei"/>
        <family val="2"/>
      </rPr>
      <t xml:space="preserve">（モバイル</t>
    </r>
    <r>
      <rPr>
        <sz val="10"/>
        <rFont val="Arial"/>
        <family val="0"/>
        <charset val="1"/>
      </rPr>
      <t xml:space="preserve">Suica</t>
    </r>
    <r>
      <rPr>
        <sz val="10"/>
        <rFont val="WenQuanYi Zen Hei"/>
        <family val="2"/>
      </rPr>
      <t xml:space="preserve">個人利用）</t>
    </r>
  </si>
  <si>
    <r>
      <rPr>
        <sz val="10"/>
        <rFont val="WenQuanYi Zen Hei"/>
        <family val="2"/>
      </rPr>
      <t xml:space="preserve">フルネーム確認の徹底 ／ 発信前の</t>
    </r>
    <r>
      <rPr>
        <sz val="10"/>
        <rFont val="Arial"/>
        <family val="0"/>
        <charset val="1"/>
      </rPr>
      <t xml:space="preserve">W</t>
    </r>
    <r>
      <rPr>
        <sz val="10"/>
        <rFont val="WenQuanYi Zen Hei"/>
        <family val="2"/>
      </rPr>
      <t xml:space="preserve">チェック必須（スクショ共有） ／ </t>
    </r>
    <r>
      <rPr>
        <sz val="10"/>
        <rFont val="Arial"/>
        <family val="0"/>
        <charset val="1"/>
      </rPr>
      <t xml:space="preserve">2</t>
    </r>
    <r>
      <rPr>
        <sz val="10"/>
        <rFont val="WenQuanYi Zen Hei"/>
        <family val="2"/>
      </rPr>
      <t xml:space="preserve">台持ちルール</t>
    </r>
  </si>
  <si>
    <r>
      <rPr>
        <sz val="10"/>
        <rFont val="WenQuanYi Zen Hei"/>
        <family val="2"/>
      </rPr>
      <t xml:space="preserve">いずれも人依存の対策。</t>
    </r>
    <r>
      <rPr>
        <sz val="10"/>
        <rFont val="Arial"/>
        <family val="0"/>
        <charset val="1"/>
      </rPr>
      <t xml:space="preserve">ADO②No.9</t>
    </r>
    <r>
      <rPr>
        <sz val="10"/>
        <rFont val="WenQuanYi Zen Hei"/>
        <family val="2"/>
      </rPr>
      <t xml:space="preserve">（個人情報保護）で「他部署への啓蒙」を掲げる部門として、自部門の個人情報取扱いを確認。</t>
    </r>
  </si>
  <si>
    <t xml:space="preserve">事例</t>
  </si>
  <si>
    <t xml:space="preserve">インシデント</t>
  </si>
  <si>
    <t xml:space="preserve">テスト観点</t>
  </si>
  <si>
    <t xml:space="preserve">確認内容（事前準備した論点）</t>
  </si>
  <si>
    <t xml:space="preserve">確認した証憑（当日記入）</t>
  </si>
  <si>
    <r>
      <rPr>
        <b val="true"/>
        <sz val="10"/>
        <color rgb="FFFFFFFF"/>
        <rFont val="WenQuanYi Zen Hei"/>
        <family val="2"/>
      </rPr>
      <t xml:space="preserve">結果</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</si>
  <si>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t xml:space="preserve">発見事項（当日記入）</t>
  </si>
  <si>
    <t xml:space="preserve">①</t>
  </si>
  <si>
    <r>
      <rPr>
        <sz val="10"/>
        <rFont val="Arial"/>
        <family val="0"/>
        <charset val="1"/>
      </rPr>
      <t xml:space="preserve">#17 </t>
    </r>
    <r>
      <rPr>
        <sz val="10"/>
        <rFont val="WenQuanYi Zen Hei"/>
        <family val="2"/>
      </rPr>
      <t xml:space="preserve">日本郵便 支払漏れ </t>
    </r>
    <r>
      <rPr>
        <sz val="10"/>
        <rFont val="Arial"/>
        <family val="0"/>
        <charset val="1"/>
      </rPr>
      <t xml:space="preserve">224</t>
    </r>
    <r>
      <rPr>
        <sz val="10"/>
        <rFont val="WenQuanYi Zen Hei"/>
        <family val="2"/>
      </rPr>
      <t xml:space="preserve">万円（</t>
    </r>
    <r>
      <rPr>
        <sz val="10"/>
        <rFont val="Arial"/>
        <family val="0"/>
        <charset val="1"/>
      </rPr>
      <t xml:space="preserve">2026/4 Lv3</t>
    </r>
    <r>
      <rPr>
        <sz val="10"/>
        <rFont val="WenQuanYi Zen Hei"/>
        <family val="2"/>
      </rPr>
      <t xml:space="preserve">）
</t>
    </r>
    <r>
      <rPr>
        <sz val="10"/>
        <rFont val="Arial"/>
        <family val="0"/>
        <charset val="1"/>
      </rPr>
      <t xml:space="preserve">#19 </t>
    </r>
    <r>
      <rPr>
        <sz val="10"/>
        <rFont val="WenQuanYi Zen Hei"/>
        <family val="2"/>
      </rPr>
      <t xml:space="preserve">ヤーマン 過重払い </t>
    </r>
    <r>
      <rPr>
        <sz val="10"/>
        <rFont val="Arial"/>
        <family val="0"/>
        <charset val="1"/>
      </rPr>
      <t xml:space="preserve">153</t>
    </r>
    <r>
      <rPr>
        <sz val="10"/>
        <rFont val="WenQuanYi Zen Hei"/>
        <family val="2"/>
      </rPr>
      <t xml:space="preserve">万円（</t>
    </r>
    <r>
      <rPr>
        <sz val="10"/>
        <rFont val="Arial"/>
        <family val="0"/>
        <charset val="1"/>
      </rPr>
      <t xml:space="preserve">2026/5 Lv3</t>
    </r>
    <r>
      <rPr>
        <sz val="10"/>
        <rFont val="WenQuanYi Zen Hei"/>
        <family val="2"/>
      </rPr>
      <t xml:space="preserve">）
</t>
    </r>
    <r>
      <rPr>
        <sz val="10"/>
        <rFont val="Arial"/>
        <family val="0"/>
        <charset val="1"/>
      </rPr>
      <t xml:space="preserve">#21 </t>
    </r>
    <r>
      <rPr>
        <sz val="10"/>
        <rFont val="WenQuanYi Zen Hei"/>
        <family val="2"/>
      </rPr>
      <t xml:space="preserve">クラスメソッド 過重払い </t>
    </r>
    <r>
      <rPr>
        <sz val="10"/>
        <rFont val="Arial"/>
        <family val="0"/>
        <charset val="1"/>
      </rPr>
      <t xml:space="preserve">96</t>
    </r>
    <r>
      <rPr>
        <sz val="10"/>
        <rFont val="WenQuanYi Zen Hei"/>
        <family val="2"/>
      </rPr>
      <t xml:space="preserve">万円（</t>
    </r>
    <r>
      <rPr>
        <sz val="10"/>
        <rFont val="Arial"/>
        <family val="0"/>
        <charset val="1"/>
      </rPr>
      <t xml:space="preserve">2026/6 Lv3</t>
    </r>
    <r>
      <rPr>
        <sz val="10"/>
        <rFont val="WenQuanYi Zen Hei"/>
        <family val="2"/>
      </rPr>
      <t xml:space="preserve">）
</t>
    </r>
    <r>
      <rPr>
        <sz val="10"/>
        <rFont val="Arial"/>
        <family val="0"/>
        <charset val="1"/>
      </rPr>
      <t xml:space="preserve">#30 </t>
    </r>
    <r>
      <rPr>
        <sz val="10"/>
        <rFont val="WenQuanYi Zen Hei"/>
        <family val="2"/>
      </rPr>
      <t xml:space="preserve">オンワード 過重払い </t>
    </r>
    <r>
      <rPr>
        <sz val="10"/>
        <rFont val="Arial"/>
        <family val="0"/>
        <charset val="1"/>
      </rPr>
      <t xml:space="preserve">297</t>
    </r>
    <r>
      <rPr>
        <sz val="10"/>
        <rFont val="WenQuanYi Zen Hei"/>
        <family val="2"/>
      </rPr>
      <t xml:space="preserve">万円（</t>
    </r>
    <r>
      <rPr>
        <sz val="10"/>
        <rFont val="Arial"/>
        <family val="0"/>
        <charset val="1"/>
      </rPr>
      <t xml:space="preserve">2026/10 Lv3</t>
    </r>
    <r>
      <rPr>
        <sz val="10"/>
        <rFont val="WenQuanYi Zen Hei"/>
        <family val="2"/>
      </rPr>
      <t xml:space="preserve">）</t>
    </r>
  </si>
  <si>
    <r>
      <rPr>
        <b val="true"/>
        <sz val="10"/>
        <rFont val="Arial"/>
        <family val="0"/>
        <charset val="1"/>
      </rPr>
      <t xml:space="preserve">G1 </t>
    </r>
    <r>
      <rPr>
        <b val="true"/>
        <sz val="10"/>
        <rFont val="WenQuanYi Zen Hei"/>
        <family val="2"/>
      </rPr>
      <t xml:space="preserve">承認</t>
    </r>
  </si>
  <si>
    <r>
      <rPr>
        <sz val="10"/>
        <rFont val="WenQuanYi Zen Hei"/>
        <family val="2"/>
      </rPr>
      <t xml:space="preserve">承認者</t>
    </r>
    <r>
      <rPr>
        <sz val="10"/>
        <rFont val="Arial"/>
        <family val="0"/>
        <charset val="1"/>
      </rPr>
      <t xml:space="preserve">shuzo</t>
    </r>
    <r>
      <rPr>
        <sz val="10"/>
        <rFont val="WenQuanYi Zen Hei"/>
        <family val="2"/>
      </rPr>
      <t xml:space="preserve">・承認日あり（</t>
    </r>
    <r>
      <rPr>
        <sz val="10"/>
        <rFont val="Arial"/>
        <family val="0"/>
        <charset val="1"/>
      </rPr>
      <t xml:space="preserve">#17 4/1</t>
    </r>
    <r>
      <rPr>
        <sz val="10"/>
        <rFont val="WenQuanYi Zen Hei"/>
        <family val="2"/>
      </rPr>
      <t xml:space="preserve">、</t>
    </r>
    <r>
      <rPr>
        <sz val="10"/>
        <rFont val="Arial"/>
        <family val="0"/>
        <charset val="1"/>
      </rPr>
      <t xml:space="preserve">#19 5/27</t>
    </r>
    <r>
      <rPr>
        <sz val="10"/>
        <rFont val="WenQuanYi Zen Hei"/>
        <family val="2"/>
      </rPr>
      <t xml:space="preserve">、</t>
    </r>
    <r>
      <rPr>
        <sz val="10"/>
        <rFont val="Arial"/>
        <family val="0"/>
        <charset val="1"/>
      </rPr>
      <t xml:space="preserve">#21 6/16</t>
    </r>
    <r>
      <rPr>
        <sz val="10"/>
        <rFont val="WenQuanYi Zen Hei"/>
        <family val="2"/>
      </rPr>
      <t xml:space="preserve">、</t>
    </r>
    <r>
      <rPr>
        <sz val="10"/>
        <rFont val="Arial"/>
        <family val="0"/>
        <charset val="1"/>
      </rPr>
      <t xml:space="preserve">#30 10/7</t>
    </r>
    <r>
      <rPr>
        <sz val="10"/>
        <rFont val="WenQuanYi Zen Hei"/>
        <family val="2"/>
      </rPr>
      <t xml:space="preserve">）。レベル</t>
    </r>
    <r>
      <rPr>
        <sz val="10"/>
        <rFont val="Arial"/>
        <family val="0"/>
        <charset val="1"/>
      </rPr>
      <t xml:space="preserve">3</t>
    </r>
    <r>
      <rPr>
        <sz val="10"/>
        <rFont val="WenQuanYi Zen Hei"/>
        <family val="2"/>
      </rPr>
      <t xml:space="preserve">としての社長承認の形跡（役員会確認欄は全件空欄）。</t>
    </r>
  </si>
  <si>
    <r>
      <rPr>
        <b val="true"/>
        <sz val="10"/>
        <rFont val="Arial"/>
        <family val="0"/>
        <charset val="1"/>
      </rPr>
      <t xml:space="preserve">G2 </t>
    </r>
    <r>
      <rPr>
        <b val="true"/>
        <sz val="10"/>
        <rFont val="WenQuanYi Zen Hei"/>
        <family val="2"/>
      </rPr>
      <t xml:space="preserve">実装・運用</t>
    </r>
  </si>
  <si>
    <r>
      <rPr>
        <sz val="10"/>
        <rFont val="WenQuanYi Zen Hei"/>
        <family val="2"/>
      </rPr>
      <t xml:space="preserve">件数チェック（</t>
    </r>
    <r>
      <rPr>
        <sz val="10"/>
        <rFont val="Arial"/>
        <family val="0"/>
        <charset val="1"/>
      </rPr>
      <t xml:space="preserve">#17</t>
    </r>
    <r>
      <rPr>
        <sz val="10"/>
        <rFont val="WenQuanYi Zen Hei"/>
        <family val="2"/>
      </rPr>
      <t xml:space="preserve">）、</t>
    </r>
    <r>
      <rPr>
        <sz val="10"/>
        <rFont val="Arial"/>
        <family val="0"/>
        <charset val="1"/>
      </rPr>
      <t xml:space="preserve">W</t>
    </r>
    <r>
      <rPr>
        <sz val="10"/>
        <rFont val="WenQuanYi Zen Hei"/>
        <family val="2"/>
      </rPr>
      <t xml:space="preserve">チェック＋トリプルチェック（</t>
    </r>
    <r>
      <rPr>
        <sz val="10"/>
        <rFont val="Arial"/>
        <family val="0"/>
        <charset val="1"/>
      </rPr>
      <t xml:space="preserve">#19</t>
    </r>
    <r>
      <rPr>
        <sz val="10"/>
        <rFont val="WenQuanYi Zen Hei"/>
        <family val="2"/>
      </rPr>
      <t xml:space="preserve">）、</t>
    </r>
    <r>
      <rPr>
        <sz val="10"/>
        <rFont val="Arial"/>
        <family val="0"/>
        <charset val="1"/>
      </rPr>
      <t xml:space="preserve">100</t>
    </r>
    <r>
      <rPr>
        <sz val="10"/>
        <rFont val="WenQuanYi Zen Hei"/>
        <family val="2"/>
      </rPr>
      <t xml:space="preserve">万円差異の自動</t>
    </r>
    <r>
      <rPr>
        <sz val="10"/>
        <rFont val="Arial"/>
        <family val="0"/>
        <charset val="1"/>
      </rPr>
      <t xml:space="preserve">Slack</t>
    </r>
    <r>
      <rPr>
        <sz val="10"/>
        <rFont val="WenQuanYi Zen Hei"/>
        <family val="2"/>
      </rPr>
      <t xml:space="preserve">通知と重複検知（</t>
    </r>
    <r>
      <rPr>
        <sz val="10"/>
        <rFont val="Arial"/>
        <family val="0"/>
        <charset val="1"/>
      </rPr>
      <t xml:space="preserve">#21</t>
    </r>
    <r>
      <rPr>
        <sz val="10"/>
        <rFont val="WenQuanYi Zen Hei"/>
        <family val="2"/>
      </rPr>
      <t xml:space="preserve">）、</t>
    </r>
    <r>
      <rPr>
        <sz val="10"/>
        <rFont val="Arial"/>
        <family val="0"/>
        <charset val="1"/>
      </rPr>
      <t xml:space="preserve">AI</t>
    </r>
    <r>
      <rPr>
        <sz val="10"/>
        <rFont val="WenQuanYi Zen Hei"/>
        <family val="2"/>
      </rPr>
      <t xml:space="preserve">チェック運用（</t>
    </r>
    <r>
      <rPr>
        <sz val="10"/>
        <rFont val="Arial"/>
        <family val="0"/>
        <charset val="1"/>
      </rPr>
      <t xml:space="preserve">#30</t>
    </r>
    <r>
      <rPr>
        <sz val="10"/>
        <rFont val="WenQuanYi Zen Hei"/>
        <family val="2"/>
      </rPr>
      <t xml:space="preserve">）の現物。</t>
    </r>
    <r>
      <rPr>
        <sz val="10"/>
        <rFont val="Arial"/>
        <family val="0"/>
        <charset val="1"/>
      </rPr>
      <t xml:space="preserve">AI</t>
    </r>
    <r>
      <rPr>
        <sz val="10"/>
        <rFont val="WenQuanYi Zen Hei"/>
        <family val="2"/>
      </rPr>
      <t xml:space="preserve">チェックの検出結果と「問題なし」と判断した記録。</t>
    </r>
  </si>
  <si>
    <r>
      <rPr>
        <b val="true"/>
        <sz val="10"/>
        <rFont val="Arial"/>
        <family val="0"/>
        <charset val="1"/>
      </rPr>
      <t xml:space="preserve">G3 </t>
    </r>
    <r>
      <rPr>
        <b val="true"/>
        <sz val="10"/>
        <rFont val="WenQuanYi Zen Hei"/>
        <family val="2"/>
      </rPr>
      <t xml:space="preserve">有効性・再発</t>
    </r>
  </si>
  <si>
    <r>
      <rPr>
        <sz val="10"/>
        <rFont val="Arial"/>
        <family val="0"/>
        <charset val="1"/>
      </rPr>
      <t xml:space="preserve">#19</t>
    </r>
    <r>
      <rPr>
        <sz val="10"/>
        <rFont val="WenQuanYi Zen Hei"/>
        <family val="2"/>
      </rPr>
      <t xml:space="preserve">完了（</t>
    </r>
    <r>
      <rPr>
        <sz val="10"/>
        <rFont val="Arial"/>
        <family val="0"/>
        <charset val="1"/>
      </rPr>
      <t xml:space="preserve">5/27</t>
    </r>
    <r>
      <rPr>
        <sz val="10"/>
        <rFont val="WenQuanYi Zen Hei"/>
        <family val="2"/>
      </rPr>
      <t xml:space="preserve">）の直後に</t>
    </r>
    <r>
      <rPr>
        <sz val="10"/>
        <rFont val="Arial"/>
        <family val="0"/>
        <charset val="1"/>
      </rPr>
      <t xml:space="preserve">#21</t>
    </r>
    <r>
      <rPr>
        <sz val="10"/>
        <rFont val="WenQuanYi Zen Hei"/>
        <family val="2"/>
      </rPr>
      <t xml:space="preserve">（</t>
    </r>
    <r>
      <rPr>
        <sz val="10"/>
        <rFont val="Arial"/>
        <family val="0"/>
        <charset val="1"/>
      </rPr>
      <t xml:space="preserve">6/16</t>
    </r>
    <r>
      <rPr>
        <sz val="10"/>
        <rFont val="WenQuanYi Zen Hei"/>
        <family val="2"/>
      </rPr>
      <t xml:space="preserve">）、</t>
    </r>
    <r>
      <rPr>
        <sz val="10"/>
        <rFont val="Arial"/>
        <family val="0"/>
        <charset val="1"/>
      </rPr>
      <t xml:space="preserve">#30</t>
    </r>
    <r>
      <rPr>
        <sz val="10"/>
        <rFont val="WenQuanYi Zen Hei"/>
        <family val="2"/>
      </rPr>
      <t xml:space="preserve">（</t>
    </r>
    <r>
      <rPr>
        <sz val="10"/>
        <rFont val="Arial"/>
        <family val="0"/>
        <charset val="1"/>
      </rPr>
      <t xml:space="preserve">10/1</t>
    </r>
    <r>
      <rPr>
        <sz val="10"/>
        <rFont val="WenQuanYi Zen Hei"/>
        <family val="2"/>
      </rPr>
      <t xml:space="preserve">）と同型が再発。対策が人の確認の積み増しに留まっていないか。資産照合（月中）の実施記録。</t>
    </r>
  </si>
  <si>
    <r>
      <rPr>
        <b val="true"/>
        <sz val="10"/>
        <rFont val="Arial"/>
        <family val="0"/>
        <charset val="1"/>
      </rPr>
      <t xml:space="preserve">G4 </t>
    </r>
    <r>
      <rPr>
        <b val="true"/>
        <sz val="10"/>
        <rFont val="WenQuanYi Zen Hei"/>
        <family val="2"/>
      </rPr>
      <t xml:space="preserve">完了確認</t>
    </r>
  </si>
  <si>
    <r>
      <rPr>
        <sz val="10"/>
        <rFont val="Arial"/>
        <family val="0"/>
        <charset val="1"/>
      </rPr>
      <t xml:space="preserve">#30</t>
    </r>
    <r>
      <rPr>
        <sz val="10"/>
        <rFont val="WenQuanYi Zen Hei"/>
        <family val="2"/>
      </rPr>
      <t xml:space="preserve">は完了予定</t>
    </r>
    <r>
      <rPr>
        <sz val="10"/>
        <rFont val="Arial"/>
        <family val="0"/>
        <charset val="1"/>
      </rPr>
      <t xml:space="preserve">2027/1/31</t>
    </r>
    <r>
      <rPr>
        <sz val="10"/>
        <rFont val="WenQuanYi Zen Hei"/>
        <family val="2"/>
      </rPr>
      <t xml:space="preserve">で対応中。</t>
    </r>
    <r>
      <rPr>
        <sz val="10"/>
        <rFont val="Arial"/>
        <family val="0"/>
        <charset val="1"/>
      </rPr>
      <t xml:space="preserve">#17</t>
    </r>
    <r>
      <rPr>
        <sz val="10"/>
        <rFont val="WenQuanYi Zen Hei"/>
        <family val="2"/>
      </rPr>
      <t xml:space="preserve">は完了日なし。</t>
    </r>
  </si>
  <si>
    <t xml:space="preserve">総合評価</t>
  </si>
  <si>
    <r>
      <rPr>
        <sz val="10"/>
        <rFont val="WenQuanYi Zen Hei"/>
        <family val="2"/>
      </rPr>
      <t xml:space="preserve">○有効／△一部不備／</t>
    </r>
    <r>
      <rPr>
        <sz val="10"/>
        <rFont val="Arial"/>
        <family val="0"/>
        <charset val="1"/>
      </rPr>
      <t xml:space="preserve">×</t>
    </r>
    <r>
      <rPr>
        <sz val="10"/>
        <rFont val="WenQuanYi Zen Hei"/>
        <family val="2"/>
      </rPr>
      <t xml:space="preserve">不備／－対応中　→ 結論（事実→影響→根本原因）と改善の要否</t>
    </r>
  </si>
  <si>
    <t xml:space="preserve">②</t>
  </si>
  <si>
    <r>
      <rPr>
        <sz val="10"/>
        <rFont val="Arial"/>
        <family val="0"/>
        <charset val="1"/>
      </rPr>
      <t xml:space="preserve">ADG-19 </t>
    </r>
    <r>
      <rPr>
        <sz val="10"/>
        <rFont val="WenQuanYi Zen Hei"/>
        <family val="2"/>
      </rPr>
      <t xml:space="preserve">給与支払遅延未遂（</t>
    </r>
    <r>
      <rPr>
        <sz val="10"/>
        <rFont val="Arial"/>
        <family val="0"/>
        <charset val="1"/>
      </rPr>
      <t xml:space="preserve">2024/5 Lv3</t>
    </r>
    <r>
      <rPr>
        <sz val="10"/>
        <rFont val="WenQuanYi Zen Hei"/>
        <family val="2"/>
      </rPr>
      <t xml:space="preserve">・</t>
    </r>
    <r>
      <rPr>
        <sz val="10"/>
        <rFont val="Arial"/>
        <family val="0"/>
        <charset val="1"/>
      </rPr>
      <t xml:space="preserve">2023/6</t>
    </r>
    <r>
      <rPr>
        <sz val="10"/>
        <rFont val="WenQuanYi Zen Hei"/>
        <family val="2"/>
      </rPr>
      <t xml:space="preserve">の再発）
</t>
    </r>
    <r>
      <rPr>
        <sz val="10"/>
        <rFont val="Arial"/>
        <family val="0"/>
        <charset val="1"/>
      </rPr>
      <t xml:space="preserve">#23 </t>
    </r>
    <r>
      <rPr>
        <sz val="10"/>
        <rFont val="WenQuanYi Zen Hei"/>
        <family val="2"/>
      </rPr>
      <t xml:space="preserve">銀行との契約上の遵守事項違反（</t>
    </r>
    <r>
      <rPr>
        <sz val="10"/>
        <rFont val="Arial"/>
        <family val="0"/>
        <charset val="1"/>
      </rPr>
      <t xml:space="preserve">2026/4</t>
    </r>
    <r>
      <rPr>
        <sz val="10"/>
        <rFont val="WenQuanYi Zen Hei"/>
        <family val="2"/>
      </rPr>
      <t xml:space="preserve">発生・</t>
    </r>
    <r>
      <rPr>
        <sz val="10"/>
        <rFont val="Arial"/>
        <family val="0"/>
        <charset val="1"/>
      </rPr>
      <t xml:space="preserve">6/18</t>
    </r>
    <r>
      <rPr>
        <sz val="10"/>
        <rFont val="WenQuanYi Zen Hei"/>
        <family val="2"/>
      </rPr>
      <t xml:space="preserve">発見 </t>
    </r>
    <r>
      <rPr>
        <sz val="10"/>
        <rFont val="Arial"/>
        <family val="0"/>
        <charset val="1"/>
      </rPr>
      <t xml:space="preserve">Lv3</t>
    </r>
    <r>
      <rPr>
        <sz val="10"/>
        <rFont val="WenQuanYi Zen Hei"/>
        <family val="2"/>
      </rPr>
      <t xml:space="preserve">）</t>
    </r>
  </si>
  <si>
    <r>
      <rPr>
        <sz val="10"/>
        <rFont val="Arial"/>
        <family val="0"/>
        <charset val="1"/>
      </rPr>
      <t xml:space="preserve">ADG-19</t>
    </r>
    <r>
      <rPr>
        <sz val="10"/>
        <rFont val="WenQuanYi Zen Hei"/>
        <family val="2"/>
      </rPr>
      <t xml:space="preserve">は承認</t>
    </r>
    <r>
      <rPr>
        <sz val="10"/>
        <rFont val="Arial"/>
        <family val="0"/>
        <charset val="1"/>
      </rPr>
      <t xml:space="preserve">ash 2024/5/27</t>
    </r>
    <r>
      <rPr>
        <sz val="10"/>
        <rFont val="WenQuanYi Zen Hei"/>
        <family val="2"/>
      </rPr>
      <t xml:space="preserve">。</t>
    </r>
    <r>
      <rPr>
        <sz val="10"/>
        <rFont val="Arial"/>
        <family val="0"/>
        <charset val="1"/>
      </rPr>
      <t xml:space="preserve">#23</t>
    </r>
    <r>
      <rPr>
        <sz val="10"/>
        <rFont val="WenQuanYi Zen Hei"/>
        <family val="2"/>
      </rPr>
      <t xml:space="preserve">は承認</t>
    </r>
    <r>
      <rPr>
        <sz val="10"/>
        <rFont val="Arial"/>
        <family val="0"/>
        <charset val="1"/>
      </rPr>
      <t xml:space="preserve">shuzo 2026/6/19</t>
    </r>
    <r>
      <rPr>
        <sz val="10"/>
        <rFont val="WenQuanYi Zen Hei"/>
        <family val="2"/>
      </rPr>
      <t xml:space="preserve">。財務制限条項違反としての取締役会・監査役への報告有無。</t>
    </r>
  </si>
  <si>
    <r>
      <rPr>
        <sz val="10"/>
        <rFont val="WenQuanYi Zen Hei"/>
        <family val="2"/>
      </rPr>
      <t xml:space="preserve">月次資金移動のカレンダー設定と実施記録。金融機関契約の遵守事項を洗い出した一覧の現物と、月</t>
    </r>
    <r>
      <rPr>
        <sz val="10"/>
        <rFont val="Arial"/>
        <family val="0"/>
        <charset val="1"/>
      </rPr>
      <t xml:space="preserve">2</t>
    </r>
    <r>
      <rPr>
        <sz val="10"/>
        <rFont val="WenQuanYi Zen Hei"/>
        <family val="2"/>
      </rPr>
      <t xml:space="preserve">回の資金繰り確認での確認記録。</t>
    </r>
  </si>
  <si>
    <r>
      <rPr>
        <sz val="10"/>
        <rFont val="Arial"/>
        <family val="0"/>
        <charset val="1"/>
      </rPr>
      <t xml:space="preserve">2023→2024</t>
    </r>
    <r>
      <rPr>
        <sz val="10"/>
        <rFont val="WenQuanYi Zen Hei"/>
        <family val="2"/>
      </rPr>
      <t xml:space="preserve">で同じ事象が再発した後、</t>
    </r>
    <r>
      <rPr>
        <sz val="10"/>
        <rFont val="Arial"/>
        <family val="0"/>
        <charset val="1"/>
      </rPr>
      <t xml:space="preserve">2026</t>
    </r>
    <r>
      <rPr>
        <sz val="10"/>
        <rFont val="WenQuanYi Zen Hei"/>
        <family val="2"/>
      </rPr>
      <t xml:space="preserve">に資金繰り起因の別事象。資金繰り管理が属人化していないか。</t>
    </r>
  </si>
  <si>
    <r>
      <rPr>
        <sz val="10"/>
        <rFont val="Arial"/>
        <family val="0"/>
        <charset val="1"/>
      </rPr>
      <t xml:space="preserve">#23</t>
    </r>
    <r>
      <rPr>
        <sz val="10"/>
        <rFont val="WenQuanYi Zen Hei"/>
        <family val="2"/>
      </rPr>
      <t xml:space="preserve">は完了予定</t>
    </r>
    <r>
      <rPr>
        <sz val="10"/>
        <rFont val="Arial"/>
        <family val="0"/>
        <charset val="1"/>
      </rPr>
      <t xml:space="preserve">2026/6/19</t>
    </r>
    <r>
      <rPr>
        <sz val="10"/>
        <rFont val="WenQuanYi Zen Hei"/>
        <family val="2"/>
      </rPr>
      <t xml:space="preserve">に対し完了日なし。</t>
    </r>
  </si>
  <si>
    <t xml:space="preserve">③</t>
  </si>
  <si>
    <r>
      <rPr>
        <sz val="10"/>
        <rFont val="Arial"/>
        <family val="0"/>
        <charset val="1"/>
      </rPr>
      <t xml:space="preserve">#14 </t>
    </r>
    <r>
      <rPr>
        <sz val="10"/>
        <rFont val="WenQuanYi Zen Hei"/>
        <family val="2"/>
      </rPr>
      <t xml:space="preserve">スタイリスト</t>
    </r>
    <r>
      <rPr>
        <sz val="10"/>
        <rFont val="Arial"/>
        <family val="0"/>
        <charset val="1"/>
      </rPr>
      <t xml:space="preserve">8</t>
    </r>
    <r>
      <rPr>
        <sz val="10"/>
        <rFont val="WenQuanYi Zen Hei"/>
        <family val="2"/>
      </rPr>
      <t xml:space="preserve">名の契約更新漏れ（</t>
    </r>
    <r>
      <rPr>
        <sz val="10"/>
        <rFont val="Arial"/>
        <family val="0"/>
        <charset val="1"/>
      </rPr>
      <t xml:space="preserve">2025/10 Lv3</t>
    </r>
    <r>
      <rPr>
        <sz val="10"/>
        <rFont val="WenQuanYi Zen Hei"/>
        <family val="2"/>
      </rPr>
      <t xml:space="preserve">）
</t>
    </r>
    <r>
      <rPr>
        <sz val="10"/>
        <rFont val="Arial"/>
        <family val="0"/>
        <charset val="1"/>
      </rPr>
      <t xml:space="preserve">#25 </t>
    </r>
    <r>
      <rPr>
        <sz val="10"/>
        <rFont val="WenQuanYi Zen Hei"/>
        <family val="2"/>
      </rPr>
      <t xml:space="preserve">ジョブカン承認前に契約締結（</t>
    </r>
    <r>
      <rPr>
        <sz val="10"/>
        <rFont val="Arial"/>
        <family val="0"/>
        <charset val="1"/>
      </rPr>
      <t xml:space="preserve">2026/7 Lv3</t>
    </r>
    <r>
      <rPr>
        <sz val="10"/>
        <rFont val="WenQuanYi Zen Hei"/>
        <family val="2"/>
      </rPr>
      <t xml:space="preserve">）</t>
    </r>
  </si>
  <si>
    <r>
      <rPr>
        <sz val="10"/>
        <rFont val="Arial"/>
        <family val="0"/>
        <charset val="1"/>
      </rPr>
      <t xml:space="preserve">#14</t>
    </r>
    <r>
      <rPr>
        <sz val="10"/>
        <rFont val="WenQuanYi Zen Hei"/>
        <family val="2"/>
      </rPr>
      <t xml:space="preserve">は承認者</t>
    </r>
    <r>
      <rPr>
        <sz val="10"/>
        <rFont val="Arial"/>
        <family val="0"/>
        <charset val="1"/>
      </rPr>
      <t xml:space="preserve">shuzo</t>
    </r>
    <r>
      <rPr>
        <sz val="10"/>
        <rFont val="WenQuanYi Zen Hei"/>
        <family val="2"/>
      </rPr>
      <t xml:space="preserve">のみで承認日なし。</t>
    </r>
    <r>
      <rPr>
        <sz val="10"/>
        <rFont val="Arial"/>
        <family val="0"/>
        <charset val="1"/>
      </rPr>
      <t xml:space="preserve">#25</t>
    </r>
    <r>
      <rPr>
        <sz val="10"/>
        <rFont val="WenQuanYi Zen Hei"/>
        <family val="2"/>
      </rPr>
      <t xml:space="preserve">は承認者・承認日とも空欄。</t>
    </r>
  </si>
  <si>
    <r>
      <rPr>
        <sz val="10"/>
        <rFont val="Arial"/>
        <family val="0"/>
        <charset val="1"/>
      </rPr>
      <t xml:space="preserve">JOBCAN</t>
    </r>
    <r>
      <rPr>
        <sz val="10"/>
        <rFont val="WenQuanYi Zen Hei"/>
        <family val="2"/>
      </rPr>
      <t xml:space="preserve">への最終版添付、電子契約の台帳網羅性の月次確認フロー、契約書台帳の区分と</t>
    </r>
    <r>
      <rPr>
        <sz val="10"/>
        <rFont val="Arial"/>
        <family val="0"/>
        <charset val="1"/>
      </rPr>
      <t xml:space="preserve">Bot</t>
    </r>
    <r>
      <rPr>
        <sz val="10"/>
        <rFont val="WenQuanYi Zen Hei"/>
        <family val="2"/>
      </rPr>
      <t xml:space="preserve">アラートの現物（別シート</t>
    </r>
    <r>
      <rPr>
        <sz val="10"/>
        <rFont val="Arial"/>
        <family val="0"/>
        <charset val="1"/>
      </rPr>
      <t xml:space="preserve">No14</t>
    </r>
    <r>
      <rPr>
        <sz val="10"/>
        <rFont val="WenQuanYi Zen Hei"/>
        <family val="2"/>
      </rPr>
      <t xml:space="preserve">の対策①〜③）。</t>
    </r>
  </si>
  <si>
    <r>
      <rPr>
        <sz val="10"/>
        <rFont val="Arial"/>
        <family val="0"/>
        <charset val="1"/>
      </rPr>
      <t xml:space="preserve">2023</t>
    </r>
    <r>
      <rPr>
        <sz val="10"/>
        <rFont val="WenQuanYi Zen Hei"/>
        <family val="2"/>
      </rPr>
      <t xml:space="preserve">（</t>
    </r>
    <r>
      <rPr>
        <sz val="10"/>
        <rFont val="Arial"/>
        <family val="0"/>
        <charset val="1"/>
      </rPr>
      <t xml:space="preserve">ADG-16</t>
    </r>
    <r>
      <rPr>
        <sz val="10"/>
        <rFont val="WenQuanYi Zen Hei"/>
        <family val="2"/>
      </rPr>
      <t xml:space="preserve">）以降</t>
    </r>
    <r>
      <rPr>
        <sz val="10"/>
        <rFont val="Arial"/>
        <family val="0"/>
        <charset val="1"/>
      </rPr>
      <t xml:space="preserve">3</t>
    </r>
    <r>
      <rPr>
        <sz val="10"/>
        <rFont val="WenQuanYi Zen Hei"/>
        <family val="2"/>
      </rPr>
      <t xml:space="preserve">回目の契約・稟議事象。</t>
    </r>
    <r>
      <rPr>
        <sz val="10"/>
        <rFont val="Arial"/>
        <family val="0"/>
        <charset val="1"/>
      </rPr>
      <t xml:space="preserve">ADO②No.14</t>
    </r>
    <r>
      <rPr>
        <sz val="10"/>
        <rFont val="WenQuanYi Zen Hei"/>
        <family val="2"/>
      </rPr>
      <t xml:space="preserve">・</t>
    </r>
    <r>
      <rPr>
        <sz val="10"/>
        <rFont val="Arial"/>
        <family val="0"/>
        <charset val="1"/>
      </rPr>
      <t xml:space="preserve">28</t>
    </r>
    <r>
      <rPr>
        <sz val="10"/>
        <rFont val="WenQuanYi Zen Hei"/>
        <family val="2"/>
      </rPr>
      <t xml:space="preserve">の自己評価との整合。</t>
    </r>
  </si>
  <si>
    <r>
      <rPr>
        <sz val="10"/>
        <rFont val="Arial"/>
        <family val="0"/>
        <charset val="1"/>
      </rPr>
      <t xml:space="preserve">#14</t>
    </r>
    <r>
      <rPr>
        <sz val="10"/>
        <rFont val="WenQuanYi Zen Hei"/>
        <family val="2"/>
      </rPr>
      <t xml:space="preserve">・</t>
    </r>
    <r>
      <rPr>
        <sz val="10"/>
        <rFont val="Arial"/>
        <family val="0"/>
        <charset val="1"/>
      </rPr>
      <t xml:space="preserve">#25</t>
    </r>
    <r>
      <rPr>
        <sz val="10"/>
        <rFont val="WenQuanYi Zen Hei"/>
        <family val="2"/>
      </rPr>
      <t xml:space="preserve">とも完了予定・完了日なし。</t>
    </r>
    <r>
      <rPr>
        <sz val="10"/>
        <rFont val="Arial"/>
        <family val="0"/>
        <charset val="1"/>
      </rPr>
      <t xml:space="preserve">#25</t>
    </r>
    <r>
      <rPr>
        <sz val="10"/>
        <rFont val="WenQuanYi Zen Hei"/>
        <family val="2"/>
      </rPr>
      <t xml:space="preserve">は恒久対応策自体が空欄。</t>
    </r>
  </si>
  <si>
    <t xml:space="preserve">④</t>
  </si>
  <si>
    <r>
      <rPr>
        <sz val="10"/>
        <rFont val="Arial"/>
        <family val="0"/>
        <charset val="1"/>
      </rPr>
      <t xml:space="preserve">#7 </t>
    </r>
    <r>
      <rPr>
        <sz val="10"/>
        <rFont val="WenQuanYi Zen Hei"/>
        <family val="2"/>
      </rPr>
      <t xml:space="preserve">給与過小（</t>
    </r>
    <r>
      <rPr>
        <sz val="10"/>
        <rFont val="Arial"/>
        <family val="0"/>
        <charset val="1"/>
      </rPr>
      <t xml:space="preserve">2025/3 Lv3</t>
    </r>
    <r>
      <rPr>
        <sz val="10"/>
        <rFont val="WenQuanYi Zen Hei"/>
        <family val="2"/>
      </rPr>
      <t xml:space="preserve">）
</t>
    </r>
    <r>
      <rPr>
        <sz val="10"/>
        <rFont val="Arial"/>
        <family val="0"/>
        <charset val="1"/>
      </rPr>
      <t xml:space="preserve">#20 </t>
    </r>
    <r>
      <rPr>
        <sz val="10"/>
        <rFont val="WenQuanYi Zen Hei"/>
        <family val="2"/>
      </rPr>
      <t xml:space="preserve">早出残業手当の誤支給（</t>
    </r>
    <r>
      <rPr>
        <sz val="10"/>
        <rFont val="Arial"/>
        <family val="0"/>
        <charset val="1"/>
      </rPr>
      <t xml:space="preserve">2026/5 Lv3</t>
    </r>
    <r>
      <rPr>
        <sz val="10"/>
        <rFont val="WenQuanYi Zen Hei"/>
        <family val="2"/>
      </rPr>
      <t xml:space="preserve">）
</t>
    </r>
    <r>
      <rPr>
        <sz val="10"/>
        <rFont val="Arial"/>
        <family val="0"/>
        <charset val="1"/>
      </rPr>
      <t xml:space="preserve">#22 </t>
    </r>
    <r>
      <rPr>
        <sz val="10"/>
        <rFont val="WenQuanYi Zen Hei"/>
        <family val="2"/>
      </rPr>
      <t xml:space="preserve">控除ミス（</t>
    </r>
    <r>
      <rPr>
        <sz val="10"/>
        <rFont val="Arial"/>
        <family val="0"/>
        <charset val="1"/>
      </rPr>
      <t xml:space="preserve">2026/6 Lv3</t>
    </r>
    <r>
      <rPr>
        <sz val="10"/>
        <rFont val="WenQuanYi Zen Hei"/>
        <family val="2"/>
      </rPr>
      <t xml:space="preserve">）
</t>
    </r>
    <r>
      <rPr>
        <sz val="10"/>
        <rFont val="Arial"/>
        <family val="0"/>
        <charset val="1"/>
      </rPr>
      <t xml:space="preserve">#29 </t>
    </r>
    <r>
      <rPr>
        <sz val="10"/>
        <rFont val="WenQuanYi Zen Hei"/>
        <family val="2"/>
      </rPr>
      <t xml:space="preserve">休職復帰者の給与支給漏れ（</t>
    </r>
    <r>
      <rPr>
        <sz val="10"/>
        <rFont val="Arial"/>
        <family val="0"/>
        <charset val="1"/>
      </rPr>
      <t xml:space="preserve">2026/9 Lv3</t>
    </r>
    <r>
      <rPr>
        <sz val="10"/>
        <rFont val="WenQuanYi Zen Hei"/>
        <family val="2"/>
      </rPr>
      <t xml:space="preserve">）</t>
    </r>
  </si>
  <si>
    <r>
      <rPr>
        <sz val="10"/>
        <rFont val="WenQuanYi Zen Hei"/>
        <family val="2"/>
      </rPr>
      <t xml:space="preserve">いずれも承認者</t>
    </r>
    <r>
      <rPr>
        <sz val="10"/>
        <rFont val="Arial"/>
        <family val="0"/>
        <charset val="1"/>
      </rPr>
      <t xml:space="preserve">shuzo</t>
    </r>
    <r>
      <rPr>
        <sz val="10"/>
        <rFont val="WenQuanYi Zen Hei"/>
        <family val="2"/>
      </rPr>
      <t xml:space="preserve">・承認日あり。</t>
    </r>
    <r>
      <rPr>
        <sz val="10"/>
        <rFont val="Arial"/>
        <family val="0"/>
        <charset val="1"/>
      </rPr>
      <t xml:space="preserve">#22</t>
    </r>
    <r>
      <rPr>
        <sz val="10"/>
        <rFont val="WenQuanYi Zen Hei"/>
        <family val="2"/>
      </rPr>
      <t xml:space="preserve">・</t>
    </r>
    <r>
      <rPr>
        <sz val="10"/>
        <rFont val="Arial"/>
        <family val="0"/>
        <charset val="1"/>
      </rPr>
      <t xml:space="preserve">#29</t>
    </r>
    <r>
      <rPr>
        <sz val="10"/>
        <rFont val="WenQuanYi Zen Hei"/>
        <family val="2"/>
      </rPr>
      <t xml:space="preserve">は完了日あり、</t>
    </r>
    <r>
      <rPr>
        <sz val="10"/>
        <rFont val="Arial"/>
        <family val="0"/>
        <charset val="1"/>
      </rPr>
      <t xml:space="preserve">#7</t>
    </r>
    <r>
      <rPr>
        <sz val="10"/>
        <rFont val="WenQuanYi Zen Hei"/>
        <family val="2"/>
      </rPr>
      <t xml:space="preserve">・</t>
    </r>
    <r>
      <rPr>
        <sz val="10"/>
        <rFont val="Arial"/>
        <family val="0"/>
        <charset val="1"/>
      </rPr>
      <t xml:space="preserve">#20</t>
    </r>
    <r>
      <rPr>
        <sz val="10"/>
        <rFont val="WenQuanYi Zen Hei"/>
        <family val="2"/>
      </rPr>
      <t xml:space="preserve">は完了予定日を過ぎて完了日なし。</t>
    </r>
  </si>
  <si>
    <r>
      <rPr>
        <sz val="10"/>
        <rFont val="WenQuanYi Zen Hei"/>
        <family val="2"/>
      </rPr>
      <t xml:space="preserve">給与台帳と支払金額の突合（</t>
    </r>
    <r>
      <rPr>
        <sz val="10"/>
        <rFont val="Arial"/>
        <family val="0"/>
        <charset val="1"/>
      </rPr>
      <t xml:space="preserve">#7</t>
    </r>
    <r>
      <rPr>
        <sz val="10"/>
        <rFont val="WenQuanYi Zen Hei"/>
        <family val="2"/>
      </rPr>
      <t xml:space="preserve">）、修正後の</t>
    </r>
    <r>
      <rPr>
        <sz val="10"/>
        <rFont val="Arial"/>
        <family val="0"/>
        <charset val="1"/>
      </rPr>
      <t xml:space="preserve">SCSK</t>
    </r>
    <r>
      <rPr>
        <sz val="10"/>
        <rFont val="WenQuanYi Zen Hei"/>
        <family val="2"/>
      </rPr>
      <t xml:space="preserve">連携シート（</t>
    </r>
    <r>
      <rPr>
        <sz val="10"/>
        <rFont val="Arial"/>
        <family val="0"/>
        <charset val="1"/>
      </rPr>
      <t xml:space="preserve">#20</t>
    </r>
    <r>
      <rPr>
        <sz val="10"/>
        <rFont val="WenQuanYi Zen Hei"/>
        <family val="2"/>
      </rPr>
      <t xml:space="preserve">）、イレギュラー支払チェックリスト（</t>
    </r>
    <r>
      <rPr>
        <sz val="10"/>
        <rFont val="Arial"/>
        <family val="0"/>
        <charset val="1"/>
      </rPr>
      <t xml:space="preserve">#22</t>
    </r>
    <r>
      <rPr>
        <sz val="10"/>
        <rFont val="WenQuanYi Zen Hei"/>
        <family val="2"/>
      </rPr>
      <t xml:space="preserve">）、日割りマニュアル（</t>
    </r>
    <r>
      <rPr>
        <sz val="10"/>
        <rFont val="Arial"/>
        <family val="0"/>
        <charset val="1"/>
      </rPr>
      <t xml:space="preserve">#29</t>
    </r>
    <r>
      <rPr>
        <sz val="10"/>
        <rFont val="WenQuanYi Zen Hei"/>
        <family val="2"/>
      </rPr>
      <t xml:space="preserve">）の現物と直近月の実施記録。</t>
    </r>
  </si>
  <si>
    <r>
      <rPr>
        <sz val="10"/>
        <rFont val="Arial"/>
        <family val="0"/>
        <charset val="1"/>
      </rPr>
      <t xml:space="preserve">#15</t>
    </r>
    <r>
      <rPr>
        <sz val="10"/>
        <rFont val="WenQuanYi Zen Hei"/>
        <family val="2"/>
      </rPr>
      <t xml:space="preserve">・</t>
    </r>
    <r>
      <rPr>
        <sz val="10"/>
        <rFont val="Arial"/>
        <family val="0"/>
        <charset val="1"/>
      </rPr>
      <t xml:space="preserve">#18</t>
    </r>
    <r>
      <rPr>
        <sz val="10"/>
        <rFont val="WenQuanYi Zen Hei"/>
        <family val="2"/>
      </rPr>
      <t xml:space="preserve">（交通費）を含め</t>
    </r>
    <r>
      <rPr>
        <sz val="10"/>
        <rFont val="Arial"/>
        <family val="0"/>
        <charset val="1"/>
      </rPr>
      <t xml:space="preserve">2025</t>
    </r>
    <r>
      <rPr>
        <sz val="10"/>
        <rFont val="WenQuanYi Zen Hei"/>
        <family val="2"/>
      </rPr>
      <t xml:space="preserve">〜</t>
    </r>
    <r>
      <rPr>
        <sz val="10"/>
        <rFont val="Arial"/>
        <family val="0"/>
        <charset val="1"/>
      </rPr>
      <t xml:space="preserve">2026</t>
    </r>
    <r>
      <rPr>
        <sz val="10"/>
        <rFont val="WenQuanYi Zen Hei"/>
        <family val="2"/>
      </rPr>
      <t xml:space="preserve">で</t>
    </r>
    <r>
      <rPr>
        <sz val="10"/>
        <rFont val="Arial"/>
        <family val="0"/>
        <charset val="1"/>
      </rPr>
      <t xml:space="preserve">6</t>
    </r>
    <r>
      <rPr>
        <sz val="10"/>
        <rFont val="WenQuanYi Zen Hei"/>
        <family val="2"/>
      </rPr>
      <t xml:space="preserve">件。チェックリスト化後の再発有無。</t>
    </r>
  </si>
  <si>
    <t xml:space="preserve">有効性欄の記述が「効くはず」という見込みで、事後検証になっているか。</t>
  </si>
  <si>
    <t xml:space="preserve">⑤</t>
  </si>
  <si>
    <r>
      <rPr>
        <sz val="10"/>
        <rFont val="Arial"/>
        <family val="0"/>
        <charset val="1"/>
      </rPr>
      <t xml:space="preserve">#10 </t>
    </r>
    <r>
      <rPr>
        <sz val="10"/>
        <rFont val="WenQuanYi Zen Hei"/>
        <family val="2"/>
      </rPr>
      <t xml:space="preserve">適時開示漏れ（</t>
    </r>
    <r>
      <rPr>
        <sz val="10"/>
        <rFont val="Arial"/>
        <family val="0"/>
        <charset val="1"/>
      </rPr>
      <t xml:space="preserve">2025/8 Lv3</t>
    </r>
    <r>
      <rPr>
        <sz val="10"/>
        <rFont val="WenQuanYi Zen Hei"/>
        <family val="2"/>
      </rPr>
      <t xml:space="preserve">）
</t>
    </r>
    <r>
      <rPr>
        <sz val="10"/>
        <rFont val="Arial"/>
        <family val="0"/>
        <charset val="1"/>
      </rPr>
      <t xml:space="preserve">#12 </t>
    </r>
    <r>
      <rPr>
        <sz val="10"/>
        <rFont val="WenQuanYi Zen Hei"/>
        <family val="2"/>
      </rPr>
      <t xml:space="preserve">源泉所得税の申告未受理（</t>
    </r>
    <r>
      <rPr>
        <sz val="10"/>
        <rFont val="Arial"/>
        <family val="0"/>
        <charset val="1"/>
      </rPr>
      <t xml:space="preserve">2025/9 Lv2</t>
    </r>
    <r>
      <rPr>
        <sz val="10"/>
        <rFont val="WenQuanYi Zen Hei"/>
        <family val="2"/>
      </rPr>
      <t xml:space="preserve">）
</t>
    </r>
    <r>
      <rPr>
        <sz val="10"/>
        <rFont val="Arial"/>
        <family val="0"/>
        <charset val="1"/>
      </rPr>
      <t xml:space="preserve">#24 Meta</t>
    </r>
    <r>
      <rPr>
        <sz val="10"/>
        <rFont val="WenQuanYi Zen Hei"/>
        <family val="2"/>
      </rPr>
      <t xml:space="preserve">広告費の消費税区分誤り（</t>
    </r>
    <r>
      <rPr>
        <sz val="10"/>
        <rFont val="Arial"/>
        <family val="0"/>
        <charset val="1"/>
      </rPr>
      <t xml:space="preserve">2026/7 Lv3</t>
    </r>
    <r>
      <rPr>
        <sz val="10"/>
        <rFont val="WenQuanYi Zen Hei"/>
        <family val="2"/>
      </rPr>
      <t xml:space="preserve">）</t>
    </r>
  </si>
  <si>
    <r>
      <rPr>
        <sz val="10"/>
        <rFont val="Arial"/>
        <family val="0"/>
        <charset val="1"/>
      </rPr>
      <t xml:space="preserve">#10</t>
    </r>
    <r>
      <rPr>
        <sz val="10"/>
        <rFont val="WenQuanYi Zen Hei"/>
        <family val="2"/>
      </rPr>
      <t xml:space="preserve">・</t>
    </r>
    <r>
      <rPr>
        <sz val="10"/>
        <rFont val="Arial"/>
        <family val="0"/>
        <charset val="1"/>
      </rPr>
      <t xml:space="preserve">#24</t>
    </r>
    <r>
      <rPr>
        <sz val="10"/>
        <rFont val="WenQuanYi Zen Hei"/>
        <family val="2"/>
      </rPr>
      <t xml:space="preserve">は承認</t>
    </r>
    <r>
      <rPr>
        <sz val="10"/>
        <rFont val="Arial"/>
        <family val="0"/>
        <charset val="1"/>
      </rPr>
      <t xml:space="preserve">shuzo</t>
    </r>
    <r>
      <rPr>
        <sz val="10"/>
        <rFont val="WenQuanYi Zen Hei"/>
        <family val="2"/>
      </rPr>
      <t xml:space="preserve">。</t>
    </r>
    <r>
      <rPr>
        <sz val="10"/>
        <rFont val="Arial"/>
        <family val="0"/>
        <charset val="1"/>
      </rPr>
      <t xml:space="preserve">#12</t>
    </r>
    <r>
      <rPr>
        <sz val="10"/>
        <rFont val="WenQuanYi Zen Hei"/>
        <family val="2"/>
      </rPr>
      <t xml:space="preserve">は承認者・承認日とも空欄。</t>
    </r>
  </si>
  <si>
    <r>
      <rPr>
        <sz val="10"/>
        <rFont val="WenQuanYi Zen Hei"/>
        <family val="2"/>
      </rPr>
      <t xml:space="preserve">取締役会</t>
    </r>
    <r>
      <rPr>
        <sz val="10"/>
        <rFont val="Arial"/>
        <family val="0"/>
        <charset val="1"/>
      </rPr>
      <t xml:space="preserve">2</t>
    </r>
    <r>
      <rPr>
        <sz val="10"/>
        <rFont val="WenQuanYi Zen Hei"/>
        <family val="2"/>
      </rPr>
      <t xml:space="preserve">営業日前の確認時間のカレンダー設定と直近の確認記録（</t>
    </r>
    <r>
      <rPr>
        <sz val="10"/>
        <rFont val="Arial"/>
        <family val="0"/>
        <charset val="1"/>
      </rPr>
      <t xml:space="preserve">#10</t>
    </r>
    <r>
      <rPr>
        <sz val="10"/>
        <rFont val="WenQuanYi Zen Hei"/>
        <family val="2"/>
      </rPr>
      <t xml:space="preserve">）、</t>
    </r>
    <r>
      <rPr>
        <sz val="10"/>
        <rFont val="Arial"/>
        <family val="0"/>
        <charset val="1"/>
      </rPr>
      <t xml:space="preserve">e-tax</t>
    </r>
    <r>
      <rPr>
        <sz val="10"/>
        <rFont val="WenQuanYi Zen Hei"/>
        <family val="2"/>
      </rPr>
      <t xml:space="preserve">申告後の出金記録照合（</t>
    </r>
    <r>
      <rPr>
        <sz val="10"/>
        <rFont val="Arial"/>
        <family val="0"/>
        <charset val="1"/>
      </rPr>
      <t xml:space="preserve">#12</t>
    </r>
    <r>
      <rPr>
        <sz val="10"/>
        <rFont val="WenQuanYi Zen Hei"/>
        <family val="2"/>
      </rPr>
      <t xml:space="preserve">）、</t>
    </r>
    <r>
      <rPr>
        <sz val="10"/>
        <rFont val="Arial"/>
        <family val="0"/>
        <charset val="1"/>
      </rPr>
      <t xml:space="preserve">AI</t>
    </r>
    <r>
      <rPr>
        <sz val="10"/>
        <rFont val="WenQuanYi Zen Hei"/>
        <family val="2"/>
      </rPr>
      <t xml:space="preserve">チェックの税区分項目（</t>
    </r>
    <r>
      <rPr>
        <sz val="10"/>
        <rFont val="Arial"/>
        <family val="0"/>
        <charset val="1"/>
      </rPr>
      <t xml:space="preserve">#24</t>
    </r>
    <r>
      <rPr>
        <sz val="10"/>
        <rFont val="WenQuanYi Zen Hei"/>
        <family val="2"/>
      </rPr>
      <t xml:space="preserve">）。</t>
    </r>
  </si>
  <si>
    <r>
      <rPr>
        <sz val="10"/>
        <rFont val="WenQuanYi Zen Hei"/>
        <family val="2"/>
      </rPr>
      <t xml:space="preserve">上場会社の開示・税務手続きの再発有無。</t>
    </r>
    <r>
      <rPr>
        <sz val="10"/>
        <rFont val="Arial"/>
        <family val="0"/>
        <charset val="1"/>
      </rPr>
      <t xml:space="preserve">#12</t>
    </r>
    <r>
      <rPr>
        <sz val="10"/>
        <rFont val="WenQuanYi Zen Hei"/>
        <family val="2"/>
      </rPr>
      <t xml:space="preserve">のような「恒久対応策なし」で放置されていないか。</t>
    </r>
  </si>
  <si>
    <r>
      <rPr>
        <sz val="10"/>
        <rFont val="Arial"/>
        <family val="0"/>
        <charset val="1"/>
      </rPr>
      <t xml:space="preserve">#24</t>
    </r>
    <r>
      <rPr>
        <sz val="10"/>
        <rFont val="WenQuanYi Zen Hei"/>
        <family val="2"/>
      </rPr>
      <t xml:space="preserve">は完了予定</t>
    </r>
    <r>
      <rPr>
        <sz val="10"/>
        <rFont val="Arial"/>
        <family val="0"/>
        <charset val="1"/>
      </rPr>
      <t xml:space="preserve">2026/7/31</t>
    </r>
    <r>
      <rPr>
        <sz val="10"/>
        <rFont val="WenQuanYi Zen Hei"/>
        <family val="2"/>
      </rPr>
      <t xml:space="preserve">超過。</t>
    </r>
    <r>
      <rPr>
        <sz val="10"/>
        <rFont val="Arial"/>
        <family val="0"/>
        <charset val="1"/>
      </rPr>
      <t xml:space="preserve">#12</t>
    </r>
    <r>
      <rPr>
        <sz val="10"/>
        <rFont val="WenQuanYi Zen Hei"/>
        <family val="2"/>
      </rPr>
      <t xml:space="preserve">は恒久対応策・期限すべて空欄。</t>
    </r>
  </si>
  <si>
    <t xml:space="preserve">⑥</t>
  </si>
  <si>
    <r>
      <rPr>
        <sz val="10"/>
        <rFont val="Arial"/>
        <family val="0"/>
        <charset val="1"/>
      </rPr>
      <t xml:space="preserve">#11 </t>
    </r>
    <r>
      <rPr>
        <sz val="10"/>
        <rFont val="WenQuanYi Zen Hei"/>
        <family val="2"/>
      </rPr>
      <t xml:space="preserve">インターン契約更新漏れ（</t>
    </r>
    <r>
      <rPr>
        <sz val="10"/>
        <rFont val="Arial"/>
        <family val="0"/>
        <charset val="1"/>
      </rPr>
      <t xml:space="preserve">2025/8 Lv3</t>
    </r>
    <r>
      <rPr>
        <sz val="10"/>
        <rFont val="WenQuanYi Zen Hei"/>
        <family val="2"/>
      </rPr>
      <t xml:space="preserve">）
</t>
    </r>
    <r>
      <rPr>
        <sz val="10"/>
        <rFont val="Arial"/>
        <family val="0"/>
        <charset val="1"/>
      </rPr>
      <t xml:space="preserve">#26 </t>
    </r>
    <r>
      <rPr>
        <sz val="10"/>
        <rFont val="WenQuanYi Zen Hei"/>
        <family val="2"/>
      </rPr>
      <t xml:space="preserve">住民税異動届（</t>
    </r>
    <r>
      <rPr>
        <sz val="10"/>
        <rFont val="Arial"/>
        <family val="0"/>
        <charset val="1"/>
      </rPr>
      <t xml:space="preserve">2026/8 Lv2</t>
    </r>
    <r>
      <rPr>
        <sz val="10"/>
        <rFont val="WenQuanYi Zen Hei"/>
        <family val="2"/>
      </rPr>
      <t xml:space="preserve">）
</t>
    </r>
    <r>
      <rPr>
        <sz val="10"/>
        <rFont val="Arial"/>
        <family val="0"/>
        <charset val="1"/>
      </rPr>
      <t xml:space="preserve">#28 </t>
    </r>
    <r>
      <rPr>
        <sz val="10"/>
        <rFont val="WenQuanYi Zen Hei"/>
        <family val="2"/>
      </rPr>
      <t xml:space="preserve">社保加入漏れ（</t>
    </r>
    <r>
      <rPr>
        <sz val="10"/>
        <rFont val="Arial"/>
        <family val="0"/>
        <charset val="1"/>
      </rPr>
      <t xml:space="preserve">2026/8 Lv1</t>
    </r>
    <r>
      <rPr>
        <sz val="10"/>
        <rFont val="WenQuanYi Zen Hei"/>
        <family val="2"/>
      </rPr>
      <t xml:space="preserve">）
</t>
    </r>
    <r>
      <rPr>
        <sz val="10"/>
        <rFont val="Arial"/>
        <family val="0"/>
        <charset val="1"/>
      </rPr>
      <t xml:space="preserve">#32 </t>
    </r>
    <r>
      <rPr>
        <sz val="10"/>
        <rFont val="WenQuanYi Zen Hei"/>
        <family val="2"/>
      </rPr>
      <t xml:space="preserve">有給付与重複（</t>
    </r>
    <r>
      <rPr>
        <sz val="10"/>
        <rFont val="Arial"/>
        <family val="0"/>
        <charset val="1"/>
      </rPr>
      <t xml:space="preserve">2026/10 Lv1</t>
    </r>
    <r>
      <rPr>
        <sz val="10"/>
        <rFont val="WenQuanYi Zen Hei"/>
        <family val="2"/>
      </rPr>
      <t xml:space="preserve">）</t>
    </r>
  </si>
  <si>
    <r>
      <rPr>
        <sz val="10"/>
        <rFont val="Arial"/>
        <family val="0"/>
        <charset val="1"/>
      </rPr>
      <t xml:space="preserve">#28</t>
    </r>
    <r>
      <rPr>
        <sz val="10"/>
        <rFont val="WenQuanYi Zen Hei"/>
        <family val="2"/>
      </rPr>
      <t xml:space="preserve">は承認日・完了日あり。</t>
    </r>
    <r>
      <rPr>
        <sz val="10"/>
        <rFont val="Arial"/>
        <family val="0"/>
        <charset val="1"/>
      </rPr>
      <t xml:space="preserve">#11</t>
    </r>
    <r>
      <rPr>
        <sz val="10"/>
        <rFont val="WenQuanYi Zen Hei"/>
        <family val="2"/>
      </rPr>
      <t xml:space="preserve">は完了予定</t>
    </r>
    <r>
      <rPr>
        <sz val="10"/>
        <rFont val="Arial"/>
        <family val="0"/>
        <charset val="1"/>
      </rPr>
      <t xml:space="preserve">2025/8/20</t>
    </r>
    <r>
      <rPr>
        <sz val="10"/>
        <rFont val="WenQuanYi Zen Hei"/>
        <family val="2"/>
      </rPr>
      <t xml:space="preserve">に対し完了日なし。</t>
    </r>
    <r>
      <rPr>
        <sz val="10"/>
        <rFont val="Arial"/>
        <family val="0"/>
        <charset val="1"/>
      </rPr>
      <t xml:space="preserve">#26</t>
    </r>
    <r>
      <rPr>
        <sz val="10"/>
        <rFont val="WenQuanYi Zen Hei"/>
        <family val="2"/>
      </rPr>
      <t xml:space="preserve">は承認日なし、</t>
    </r>
    <r>
      <rPr>
        <sz val="10"/>
        <rFont val="Arial"/>
        <family val="0"/>
        <charset val="1"/>
      </rPr>
      <t xml:space="preserve">#32</t>
    </r>
    <r>
      <rPr>
        <sz val="10"/>
        <rFont val="WenQuanYi Zen Hei"/>
        <family val="2"/>
      </rPr>
      <t xml:space="preserve">は期限・完了日なし。</t>
    </r>
  </si>
  <si>
    <r>
      <rPr>
        <sz val="10"/>
        <rFont val="WenQuanYi Zen Hei"/>
        <family val="2"/>
      </rPr>
      <t xml:space="preserve">入退社チェックリストの追加項目、退職</t>
    </r>
    <r>
      <rPr>
        <sz val="10"/>
        <rFont val="Arial"/>
        <family val="0"/>
        <charset val="1"/>
      </rPr>
      <t xml:space="preserve">WF</t>
    </r>
    <r>
      <rPr>
        <sz val="10"/>
        <rFont val="WenQuanYi Zen Hei"/>
        <family val="2"/>
      </rPr>
      <t xml:space="preserve">・産育休</t>
    </r>
    <r>
      <rPr>
        <sz val="10"/>
        <rFont val="Arial"/>
        <family val="0"/>
        <charset val="1"/>
      </rPr>
      <t xml:space="preserve">WF</t>
    </r>
    <r>
      <rPr>
        <sz val="10"/>
        <rFont val="WenQuanYi Zen Hei"/>
        <family val="2"/>
      </rPr>
      <t xml:space="preserve">の</t>
    </r>
    <r>
      <rPr>
        <sz val="10"/>
        <rFont val="Arial"/>
        <family val="0"/>
        <charset val="1"/>
      </rPr>
      <t xml:space="preserve">1/1</t>
    </r>
    <r>
      <rPr>
        <sz val="10"/>
        <rFont val="WenQuanYi Zen Hei"/>
        <family val="2"/>
      </rPr>
      <t xml:space="preserve">時点住所欄、入退社スプシの社保加入要否の関数、休暇付与マニュアルの現物。</t>
    </r>
  </si>
  <si>
    <r>
      <rPr>
        <sz val="10"/>
        <rFont val="WenQuanYi Zen Hei"/>
        <family val="2"/>
      </rPr>
      <t xml:space="preserve">直近の入退社で実際に使われたか（記入済みのチェックリスト</t>
    </r>
    <r>
      <rPr>
        <sz val="10"/>
        <rFont val="Arial"/>
        <family val="0"/>
        <charset val="1"/>
      </rPr>
      <t xml:space="preserve">1</t>
    </r>
    <r>
      <rPr>
        <sz val="10"/>
        <rFont val="WenQuanYi Zen Hei"/>
        <family val="2"/>
      </rPr>
      <t xml:space="preserve">件）。</t>
    </r>
  </si>
  <si>
    <r>
      <rPr>
        <sz val="10"/>
        <rFont val="Arial"/>
        <family val="0"/>
        <charset val="1"/>
      </rPr>
      <t xml:space="preserve">#26</t>
    </r>
    <r>
      <rPr>
        <sz val="10"/>
        <rFont val="WenQuanYi Zen Hei"/>
        <family val="2"/>
      </rPr>
      <t xml:space="preserve">・</t>
    </r>
    <r>
      <rPr>
        <sz val="10"/>
        <rFont val="Arial"/>
        <family val="0"/>
        <charset val="1"/>
      </rPr>
      <t xml:space="preserve">#32</t>
    </r>
    <r>
      <rPr>
        <sz val="10"/>
        <rFont val="WenQuanYi Zen Hei"/>
        <family val="2"/>
      </rPr>
      <t xml:space="preserve">の期限設定とクローズ。</t>
    </r>
  </si>
  <si>
    <t xml:space="preserve">#</t>
  </si>
  <si>
    <t xml:space="preserve">関連事例</t>
  </si>
  <si>
    <r>
      <rPr>
        <b val="true"/>
        <sz val="10"/>
        <color rgb="FFFFFFFF"/>
        <rFont val="WenQuanYi Zen Hei"/>
        <family val="2"/>
      </rPr>
      <t xml:space="preserve">準備いただきたい現物（既存物で</t>
    </r>
    <r>
      <rPr>
        <b val="true"/>
        <sz val="10"/>
        <color rgb="FFFFFFFF"/>
        <rFont val="Arial"/>
        <family val="0"/>
        <charset val="1"/>
      </rPr>
      <t xml:space="preserve">OK</t>
    </r>
    <r>
      <rPr>
        <b val="true"/>
        <sz val="10"/>
        <color rgb="FFFFFFFF"/>
        <rFont val="WenQuanYi Zen Hei"/>
        <family val="2"/>
      </rPr>
      <t xml:space="preserve">・新規作成不要）</t>
    </r>
  </si>
  <si>
    <t xml:space="preserve">想定の形</t>
  </si>
  <si>
    <t xml:space="preserve">備考</t>
  </si>
  <si>
    <r>
      <rPr>
        <sz val="10"/>
        <rFont val="WenQuanYi Zen Hei"/>
        <family val="2"/>
      </rPr>
      <t xml:space="preserve">支払い</t>
    </r>
    <r>
      <rPr>
        <sz val="10"/>
        <rFont val="Arial"/>
        <family val="0"/>
        <charset val="1"/>
      </rPr>
      <t xml:space="preserve">AI</t>
    </r>
    <r>
      <rPr>
        <sz val="10"/>
        <rFont val="WenQuanYi Zen Hei"/>
        <family val="2"/>
      </rPr>
      <t xml:space="preserve">チェックの直近の実行結果（検出一覧）と、検出後に「問題なし」と判断した記録（</t>
    </r>
    <r>
      <rPr>
        <sz val="10"/>
        <rFont val="Arial"/>
        <family val="0"/>
        <charset val="1"/>
      </rPr>
      <t xml:space="preserve">#30</t>
    </r>
    <r>
      <rPr>
        <sz val="10"/>
        <rFont val="WenQuanYi Zen Hei"/>
        <family val="2"/>
      </rPr>
      <t xml:space="preserve">）</t>
    </r>
  </si>
  <si>
    <r>
      <rPr>
        <sz val="10"/>
        <rFont val="WenQuanYi Zen Hei"/>
        <family val="2"/>
      </rPr>
      <t xml:space="preserve">画面共有・</t>
    </r>
    <r>
      <rPr>
        <sz val="10"/>
        <rFont val="Arial"/>
        <family val="0"/>
        <charset val="1"/>
      </rPr>
      <t xml:space="preserve">Slack</t>
    </r>
  </si>
  <si>
    <r>
      <rPr>
        <sz val="10"/>
        <rFont val="Arial"/>
        <family val="0"/>
        <charset val="1"/>
      </rPr>
      <t xml:space="preserve">AI</t>
    </r>
    <r>
      <rPr>
        <sz val="10"/>
        <rFont val="WenQuanYi Zen Hei"/>
        <family val="2"/>
      </rPr>
      <t xml:space="preserve">チェックの運用実態</t>
    </r>
  </si>
  <si>
    <r>
      <rPr>
        <sz val="10"/>
        <rFont val="WenQuanYi Zen Hei"/>
        <family val="2"/>
      </rPr>
      <t xml:space="preserve">仮申請と差替後の金額差</t>
    </r>
    <r>
      <rPr>
        <sz val="10"/>
        <rFont val="Arial"/>
        <family val="0"/>
        <charset val="1"/>
      </rPr>
      <t xml:space="preserve">100</t>
    </r>
    <r>
      <rPr>
        <sz val="10"/>
        <rFont val="WenQuanYi Zen Hei"/>
        <family val="2"/>
      </rPr>
      <t xml:space="preserve">万円以上を自動検知する</t>
    </r>
    <r>
      <rPr>
        <sz val="10"/>
        <rFont val="Arial"/>
        <family val="0"/>
        <charset val="1"/>
      </rPr>
      <t xml:space="preserve">Slack</t>
    </r>
    <r>
      <rPr>
        <sz val="10"/>
        <rFont val="WenQuanYi Zen Hei"/>
        <family val="2"/>
      </rPr>
      <t xml:space="preserve">通知の設定と通知例（</t>
    </r>
    <r>
      <rPr>
        <sz val="10"/>
        <rFont val="Arial"/>
        <family val="0"/>
        <charset val="1"/>
      </rPr>
      <t xml:space="preserve">#21</t>
    </r>
    <r>
      <rPr>
        <sz val="10"/>
        <rFont val="WenQuanYi Zen Hei"/>
        <family val="2"/>
      </rPr>
      <t xml:space="preserve">）</t>
    </r>
  </si>
  <si>
    <r>
      <rPr>
        <sz val="10"/>
        <rFont val="Arial"/>
        <family val="0"/>
        <charset val="1"/>
      </rPr>
      <t xml:space="preserve">Slack</t>
    </r>
    <r>
      <rPr>
        <sz val="10"/>
        <rFont val="WenQuanYi Zen Hei"/>
        <family val="2"/>
      </rPr>
      <t xml:space="preserve">・設定画面</t>
    </r>
  </si>
  <si>
    <t xml:space="preserve">構造的対策の実装確認</t>
  </si>
  <si>
    <r>
      <rPr>
        <sz val="10"/>
        <rFont val="WenQuanYi Zen Hei"/>
        <family val="2"/>
      </rPr>
      <t xml:space="preserve">支払管理レポートと支払依頼の件数チェック、資産照合（月中）の直近月の記録（</t>
    </r>
    <r>
      <rPr>
        <sz val="10"/>
        <rFont val="Arial"/>
        <family val="0"/>
        <charset val="1"/>
      </rPr>
      <t xml:space="preserve">#17</t>
    </r>
    <r>
      <rPr>
        <sz val="10"/>
        <rFont val="WenQuanYi Zen Hei"/>
        <family val="2"/>
      </rPr>
      <t xml:space="preserve">・</t>
    </r>
    <r>
      <rPr>
        <sz val="10"/>
        <rFont val="Arial"/>
        <family val="0"/>
        <charset val="1"/>
      </rPr>
      <t xml:space="preserve">#30</t>
    </r>
    <r>
      <rPr>
        <sz val="10"/>
        <rFont val="WenQuanYi Zen Hei"/>
        <family val="2"/>
      </rPr>
      <t xml:space="preserve">）</t>
    </r>
  </si>
  <si>
    <t xml:space="preserve">スプレッドシート</t>
  </si>
  <si>
    <t xml:space="preserve">月次統制の実施記録</t>
  </si>
  <si>
    <r>
      <rPr>
        <sz val="10"/>
        <rFont val="WenQuanYi Zen Hei"/>
        <family val="2"/>
      </rPr>
      <t xml:space="preserve">金融機関との契約上の遵守事項を洗い出した一覧と、月</t>
    </r>
    <r>
      <rPr>
        <sz val="10"/>
        <rFont val="Arial"/>
        <family val="0"/>
        <charset val="1"/>
      </rPr>
      <t xml:space="preserve">2</t>
    </r>
    <r>
      <rPr>
        <sz val="10"/>
        <rFont val="WenQuanYi Zen Hei"/>
        <family val="2"/>
      </rPr>
      <t xml:space="preserve">回の資金繰り確認での確認記録（</t>
    </r>
    <r>
      <rPr>
        <sz val="10"/>
        <rFont val="Arial"/>
        <family val="0"/>
        <charset val="1"/>
      </rPr>
      <t xml:space="preserve">#23</t>
    </r>
    <r>
      <rPr>
        <sz val="10"/>
        <rFont val="WenQuanYi Zen Hei"/>
        <family val="2"/>
      </rPr>
      <t xml:space="preserve">）</t>
    </r>
  </si>
  <si>
    <t xml:space="preserve">スプレッドシート・議事メモ</t>
  </si>
  <si>
    <t xml:space="preserve">財務制限条項の管理</t>
  </si>
  <si>
    <r>
      <rPr>
        <sz val="10"/>
        <rFont val="WenQuanYi Zen Hei"/>
        <family val="2"/>
      </rPr>
      <t xml:space="preserve">毎月の資金移動のカレンダー設定（</t>
    </r>
    <r>
      <rPr>
        <sz val="10"/>
        <rFont val="Arial"/>
        <family val="0"/>
        <charset val="1"/>
      </rPr>
      <t xml:space="preserve">ADG-19</t>
    </r>
    <r>
      <rPr>
        <sz val="10"/>
        <rFont val="WenQuanYi Zen Hei"/>
        <family val="2"/>
      </rPr>
      <t xml:space="preserve">）</t>
    </r>
  </si>
  <si>
    <t xml:space="preserve">カレンダー画面</t>
  </si>
  <si>
    <r>
      <rPr>
        <sz val="10"/>
        <rFont val="Arial"/>
        <family val="0"/>
        <charset val="1"/>
      </rPr>
      <t xml:space="preserve">2023→2024</t>
    </r>
    <r>
      <rPr>
        <sz val="10"/>
        <rFont val="WenQuanYi Zen Hei"/>
        <family val="2"/>
      </rPr>
      <t xml:space="preserve">再発案件の対策継続</t>
    </r>
  </si>
  <si>
    <r>
      <rPr>
        <sz val="10"/>
        <rFont val="WenQuanYi Zen Hei"/>
        <family val="2"/>
      </rPr>
      <t xml:space="preserve">契約書台帳（区分・満了日・</t>
    </r>
    <r>
      <rPr>
        <sz val="10"/>
        <rFont val="Arial"/>
        <family val="0"/>
        <charset val="1"/>
      </rPr>
      <t xml:space="preserve">Bot</t>
    </r>
    <r>
      <rPr>
        <sz val="10"/>
        <rFont val="WenQuanYi Zen Hei"/>
        <family val="2"/>
      </rPr>
      <t xml:space="preserve">アラート設定）と、電子契約の台帳網羅性を月次確認した記録（</t>
    </r>
    <r>
      <rPr>
        <sz val="10"/>
        <rFont val="Arial"/>
        <family val="0"/>
        <charset val="1"/>
      </rPr>
      <t xml:space="preserve">#14</t>
    </r>
    <r>
      <rPr>
        <sz val="10"/>
        <rFont val="WenQuanYi Zen Hei"/>
        <family val="2"/>
      </rPr>
      <t xml:space="preserve">）</t>
    </r>
  </si>
  <si>
    <r>
      <rPr>
        <sz val="10"/>
        <rFont val="WenQuanYi Zen Hei"/>
        <family val="2"/>
      </rPr>
      <t xml:space="preserve">スプレッドシート・</t>
    </r>
    <r>
      <rPr>
        <sz val="10"/>
        <rFont val="Arial"/>
        <family val="0"/>
        <charset val="1"/>
      </rPr>
      <t xml:space="preserve">Slack Bot</t>
    </r>
  </si>
  <si>
    <t xml:space="preserve">契約更新漏れの対策</t>
  </si>
  <si>
    <r>
      <rPr>
        <sz val="10"/>
        <rFont val="WenQuanYi Zen Hei"/>
        <family val="2"/>
      </rPr>
      <t xml:space="preserve">ジョブカン承認と契約締結の順序を担保する運用（</t>
    </r>
    <r>
      <rPr>
        <sz val="10"/>
        <rFont val="Arial"/>
        <family val="0"/>
        <charset val="1"/>
      </rPr>
      <t xml:space="preserve">#25</t>
    </r>
    <r>
      <rPr>
        <sz val="10"/>
        <rFont val="WenQuanYi Zen Hei"/>
        <family val="2"/>
      </rPr>
      <t xml:space="preserve">）。直近の契約</t>
    </r>
    <r>
      <rPr>
        <sz val="10"/>
        <rFont val="Arial"/>
        <family val="0"/>
        <charset val="1"/>
      </rPr>
      <t xml:space="preserve">3</t>
    </r>
    <r>
      <rPr>
        <sz val="10"/>
        <rFont val="WenQuanYi Zen Hei"/>
        <family val="2"/>
      </rPr>
      <t xml:space="preserve">件の承認日と締結日</t>
    </r>
  </si>
  <si>
    <t xml:space="preserve">ジョブカン画面</t>
  </si>
  <si>
    <t xml:space="preserve">事後稟議の再発防止</t>
  </si>
  <si>
    <r>
      <rPr>
        <sz val="10"/>
        <rFont val="WenQuanYi Zen Hei"/>
        <family val="2"/>
      </rPr>
      <t xml:space="preserve">イレギュラー支払チェックリスト（</t>
    </r>
    <r>
      <rPr>
        <sz val="10"/>
        <rFont val="Arial"/>
        <family val="0"/>
        <charset val="1"/>
      </rPr>
      <t xml:space="preserve">#22</t>
    </r>
    <r>
      <rPr>
        <sz val="10"/>
        <rFont val="WenQuanYi Zen Hei"/>
        <family val="2"/>
      </rPr>
      <t xml:space="preserve">）と直近月の記入済み分、給与台帳と支払金額の突合記録（</t>
    </r>
    <r>
      <rPr>
        <sz val="10"/>
        <rFont val="Arial"/>
        <family val="0"/>
        <charset val="1"/>
      </rPr>
      <t xml:space="preserve">#7</t>
    </r>
    <r>
      <rPr>
        <sz val="10"/>
        <rFont val="WenQuanYi Zen Hei"/>
        <family val="2"/>
      </rPr>
      <t xml:space="preserve">）</t>
    </r>
  </si>
  <si>
    <t xml:space="preserve">給与計算の月次統制</t>
  </si>
  <si>
    <r>
      <rPr>
        <sz val="10"/>
        <rFont val="WenQuanYi Zen Hei"/>
        <family val="2"/>
      </rPr>
      <t xml:space="preserve">修正後の</t>
    </r>
    <r>
      <rPr>
        <sz val="10"/>
        <rFont val="Arial"/>
        <family val="0"/>
        <charset val="1"/>
      </rPr>
      <t xml:space="preserve">SCSK</t>
    </r>
    <r>
      <rPr>
        <sz val="10"/>
        <rFont val="WenQuanYi Zen Hei"/>
        <family val="2"/>
      </rPr>
      <t xml:space="preserve">連携シート（みなし残業時間の別列化 </t>
    </r>
    <r>
      <rPr>
        <sz val="10"/>
        <rFont val="Arial"/>
        <family val="0"/>
        <charset val="1"/>
      </rPr>
      <t xml:space="preserve">#20</t>
    </r>
    <r>
      <rPr>
        <sz val="10"/>
        <rFont val="WenQuanYi Zen Hei"/>
        <family val="2"/>
      </rPr>
      <t xml:space="preserve">）、日割り計算マニュアル（</t>
    </r>
    <r>
      <rPr>
        <sz val="10"/>
        <rFont val="Arial"/>
        <family val="0"/>
        <charset val="1"/>
      </rPr>
      <t xml:space="preserve">#29</t>
    </r>
    <r>
      <rPr>
        <sz val="10"/>
        <rFont val="WenQuanYi Zen Hei"/>
        <family val="2"/>
      </rPr>
      <t xml:space="preserve">）</t>
    </r>
  </si>
  <si>
    <t xml:space="preserve">スプレッドシート・ドキュメント</t>
  </si>
  <si>
    <t xml:space="preserve">対策の現物</t>
  </si>
  <si>
    <r>
      <rPr>
        <sz val="10"/>
        <rFont val="WenQuanYi Zen Hei"/>
        <family val="2"/>
      </rPr>
      <t xml:space="preserve">取締役会</t>
    </r>
    <r>
      <rPr>
        <sz val="10"/>
        <rFont val="Arial"/>
        <family val="0"/>
        <charset val="1"/>
      </rPr>
      <t xml:space="preserve">2</t>
    </r>
    <r>
      <rPr>
        <sz val="10"/>
        <rFont val="WenQuanYi Zen Hei"/>
        <family val="2"/>
      </rPr>
      <t xml:space="preserve">営業日前の適時開示確認のカレンダー設定と直近の確認記録（</t>
    </r>
    <r>
      <rPr>
        <sz val="10"/>
        <rFont val="Arial"/>
        <family val="0"/>
        <charset val="1"/>
      </rPr>
      <t xml:space="preserve">#10</t>
    </r>
    <r>
      <rPr>
        <sz val="10"/>
        <rFont val="WenQuanYi Zen Hei"/>
        <family val="2"/>
      </rPr>
      <t xml:space="preserve">）、</t>
    </r>
    <r>
      <rPr>
        <sz val="10"/>
        <rFont val="Arial"/>
        <family val="0"/>
        <charset val="1"/>
      </rPr>
      <t xml:space="preserve">AI</t>
    </r>
    <r>
      <rPr>
        <sz val="10"/>
        <rFont val="WenQuanYi Zen Hei"/>
        <family val="2"/>
      </rPr>
      <t xml:space="preserve">チェックの税区分・インボイス項目（</t>
    </r>
    <r>
      <rPr>
        <sz val="10"/>
        <rFont val="Arial"/>
        <family val="0"/>
        <charset val="1"/>
      </rPr>
      <t xml:space="preserve">#24</t>
    </r>
    <r>
      <rPr>
        <sz val="10"/>
        <rFont val="WenQuanYi Zen Hei"/>
        <family val="2"/>
      </rPr>
      <t xml:space="preserve">）</t>
    </r>
  </si>
  <si>
    <t xml:space="preserve">カレンダー・画面</t>
  </si>
  <si>
    <t xml:space="preserve">開示・税務の統制</t>
  </si>
  <si>
    <r>
      <rPr>
        <sz val="10"/>
        <rFont val="WenQuanYi Zen Hei"/>
        <family val="2"/>
      </rPr>
      <t xml:space="preserve">源泉所得税の</t>
    </r>
    <r>
      <rPr>
        <sz val="10"/>
        <rFont val="Arial"/>
        <family val="0"/>
        <charset val="1"/>
      </rPr>
      <t xml:space="preserve">e-tax</t>
    </r>
    <r>
      <rPr>
        <sz val="10"/>
        <rFont val="WenQuanYi Zen Hei"/>
        <family val="2"/>
      </rPr>
      <t xml:space="preserve">申告後に出金記録（毎月</t>
    </r>
    <r>
      <rPr>
        <sz val="10"/>
        <rFont val="Arial"/>
        <family val="0"/>
        <charset val="1"/>
      </rPr>
      <t xml:space="preserve">2</t>
    </r>
    <r>
      <rPr>
        <sz val="10"/>
        <rFont val="WenQuanYi Zen Hei"/>
        <family val="2"/>
      </rPr>
      <t xml:space="preserve">本）を照合する運用の有無（</t>
    </r>
    <r>
      <rPr>
        <sz val="10"/>
        <rFont val="Arial"/>
        <family val="0"/>
        <charset val="1"/>
      </rPr>
      <t xml:space="preserve">#12</t>
    </r>
    <r>
      <rPr>
        <sz val="10"/>
        <rFont val="WenQuanYi Zen Hei"/>
        <family val="2"/>
      </rPr>
      <t xml:space="preserve">）</t>
    </r>
  </si>
  <si>
    <t xml:space="preserve">口頭でも可</t>
  </si>
  <si>
    <t xml:space="preserve">恒久対応策が空欄の案件</t>
  </si>
  <si>
    <r>
      <rPr>
        <sz val="10"/>
        <rFont val="WenQuanYi Zen Hei"/>
        <family val="2"/>
      </rPr>
      <t xml:space="preserve">入退社チェックリスト・退職</t>
    </r>
    <r>
      <rPr>
        <sz val="10"/>
        <rFont val="Arial"/>
        <family val="0"/>
        <charset val="1"/>
      </rPr>
      <t xml:space="preserve">WF</t>
    </r>
    <r>
      <rPr>
        <sz val="10"/>
        <rFont val="WenQuanYi Zen Hei"/>
        <family val="2"/>
      </rPr>
      <t xml:space="preserve">・入退社スプシの追加項目（</t>
    </r>
    <r>
      <rPr>
        <sz val="10"/>
        <rFont val="Arial"/>
        <family val="0"/>
        <charset val="1"/>
      </rPr>
      <t xml:space="preserve">#11</t>
    </r>
    <r>
      <rPr>
        <sz val="10"/>
        <rFont val="WenQuanYi Zen Hei"/>
        <family val="2"/>
      </rPr>
      <t xml:space="preserve">・</t>
    </r>
    <r>
      <rPr>
        <sz val="10"/>
        <rFont val="Arial"/>
        <family val="0"/>
        <charset val="1"/>
      </rPr>
      <t xml:space="preserve">#26</t>
    </r>
    <r>
      <rPr>
        <sz val="10"/>
        <rFont val="WenQuanYi Zen Hei"/>
        <family val="2"/>
      </rPr>
      <t xml:space="preserve">・</t>
    </r>
    <r>
      <rPr>
        <sz val="10"/>
        <rFont val="Arial"/>
        <family val="0"/>
        <charset val="1"/>
      </rPr>
      <t xml:space="preserve">#28</t>
    </r>
    <r>
      <rPr>
        <sz val="10"/>
        <rFont val="WenQuanYi Zen Hei"/>
        <family val="2"/>
      </rPr>
      <t xml:space="preserve">）と、直近の入退社で記入済みのもの</t>
    </r>
    <r>
      <rPr>
        <sz val="10"/>
        <rFont val="Arial"/>
        <family val="0"/>
        <charset val="1"/>
      </rPr>
      <t xml:space="preserve">1</t>
    </r>
    <r>
      <rPr>
        <sz val="10"/>
        <rFont val="WenQuanYi Zen Hei"/>
        <family val="2"/>
      </rPr>
      <t xml:space="preserve">件</t>
    </r>
  </si>
  <si>
    <r>
      <rPr>
        <sz val="10"/>
        <rFont val="WenQuanYi Zen Hei"/>
        <family val="2"/>
      </rPr>
      <t xml:space="preserve">スプレッドシート・</t>
    </r>
    <r>
      <rPr>
        <sz val="10"/>
        <rFont val="Arial"/>
        <family val="0"/>
        <charset val="1"/>
      </rPr>
      <t xml:space="preserve">WF</t>
    </r>
    <r>
      <rPr>
        <sz val="10"/>
        <rFont val="WenQuanYi Zen Hei"/>
        <family val="2"/>
      </rPr>
      <t xml:space="preserve">画面</t>
    </r>
  </si>
  <si>
    <t xml:space="preserve">対策の運用実績</t>
  </si>
  <si>
    <t xml:space="preserve">－</t>
  </si>
  <si>
    <r>
      <rPr>
        <sz val="10"/>
        <rFont val="WenQuanYi Zen Hei"/>
        <family val="2"/>
      </rPr>
      <t xml:space="preserve">恒久対応策が空欄の案件（</t>
    </r>
    <r>
      <rPr>
        <sz val="10"/>
        <rFont val="Arial"/>
        <family val="0"/>
        <charset val="1"/>
      </rPr>
      <t xml:space="preserve">#3</t>
    </r>
    <r>
      <rPr>
        <sz val="10"/>
        <rFont val="WenQuanYi Zen Hei"/>
        <family val="2"/>
      </rPr>
      <t xml:space="preserve">・</t>
    </r>
    <r>
      <rPr>
        <sz val="10"/>
        <rFont val="Arial"/>
        <family val="0"/>
        <charset val="1"/>
      </rPr>
      <t xml:space="preserve">#12</t>
    </r>
    <r>
      <rPr>
        <sz val="10"/>
        <rFont val="WenQuanYi Zen Hei"/>
        <family val="2"/>
      </rPr>
      <t xml:space="preserve">・</t>
    </r>
    <r>
      <rPr>
        <sz val="10"/>
        <rFont val="Arial"/>
        <family val="0"/>
        <charset val="1"/>
      </rPr>
      <t xml:space="preserve">#25</t>
    </r>
    <r>
      <rPr>
        <sz val="10"/>
        <rFont val="WenQuanYi Zen Hei"/>
        <family val="2"/>
      </rPr>
      <t xml:space="preserve">・</t>
    </r>
    <r>
      <rPr>
        <sz val="10"/>
        <rFont val="Arial"/>
        <family val="0"/>
        <charset val="1"/>
      </rPr>
      <t xml:space="preserve">#31</t>
    </r>
    <r>
      <rPr>
        <sz val="10"/>
        <rFont val="WenQuanYi Zen Hei"/>
        <family val="2"/>
      </rPr>
      <t xml:space="preserve">）について、対応不要と判断した場合はその経緯</t>
    </r>
  </si>
  <si>
    <t xml:space="preserve">記録運用</t>
  </si>
  <si>
    <t xml:space="preserve">事務局として：全社インシデントの「対応完了確認日」の運用状況と、台帳の入力統制（承認日必須化・有効性の選択式化）の導入状況</t>
  </si>
  <si>
    <t xml:space="preserve">口頭・画面</t>
  </si>
  <si>
    <r>
      <rPr>
        <sz val="10"/>
        <rFont val="Arial"/>
        <family val="0"/>
        <charset val="1"/>
      </rPr>
      <t xml:space="preserve">GRG/SCMG</t>
    </r>
    <r>
      <rPr>
        <sz val="10"/>
        <rFont val="WenQuanYi Zen Hei"/>
        <family val="2"/>
      </rPr>
      <t xml:space="preserve">監査で提言した全社対策の進捗</t>
    </r>
  </si>
  <si>
    <r>
      <rPr>
        <sz val="10"/>
        <rFont val="Arial"/>
        <family val="0"/>
        <charset val="1"/>
      </rPr>
      <t xml:space="preserve">2027</t>
    </r>
    <r>
      <rPr>
        <sz val="10"/>
        <rFont val="WenQuanYi Zen Hei"/>
        <family val="2"/>
      </rPr>
      <t xml:space="preserve">年</t>
    </r>
    <r>
      <rPr>
        <sz val="10"/>
        <rFont val="Arial"/>
        <family val="0"/>
        <charset val="1"/>
      </rPr>
      <t xml:space="preserve">6</t>
    </r>
    <r>
      <rPr>
        <sz val="10"/>
        <rFont val="WenQuanYi Zen Hei"/>
        <family val="2"/>
      </rPr>
      <t xml:space="preserve">月期 内部監査シート </t>
    </r>
    <r>
      <rPr>
        <sz val="10"/>
        <rFont val="Arial"/>
        <family val="0"/>
        <charset val="1"/>
      </rPr>
      <t xml:space="preserve">ADO②</t>
    </r>
    <r>
      <rPr>
        <sz val="10"/>
        <rFont val="WenQuanYi Zen Hei"/>
        <family val="2"/>
      </rPr>
      <t xml:space="preserve">タブの「（前回）監査結果」列の更新（</t>
    </r>
    <r>
      <rPr>
        <sz val="10"/>
        <rFont val="Arial"/>
        <family val="0"/>
        <charset val="1"/>
      </rPr>
      <t xml:space="preserve">2024/11</t>
    </r>
    <r>
      <rPr>
        <sz val="10"/>
        <rFont val="WenQuanYi Zen Hei"/>
        <family val="2"/>
      </rPr>
      <t xml:space="preserve">結果への差替え）</t>
    </r>
  </si>
  <si>
    <t xml:space="preserve">監査前の準備事項</t>
  </si>
  <si>
    <t xml:space="preserve">ADO② No</t>
  </si>
  <si>
    <t xml:space="preserve">項目</t>
  </si>
  <si>
    <t xml:space="preserve">質問内容（要約）</t>
  </si>
  <si>
    <r>
      <rPr>
        <b val="true"/>
        <sz val="10"/>
        <color rgb="FFFFFFFF"/>
        <rFont val="WenQuanYi Zen Hei"/>
        <family val="2"/>
      </rPr>
      <t xml:space="preserve">前回（</t>
    </r>
    <r>
      <rPr>
        <b val="true"/>
        <sz val="10"/>
        <color rgb="FFFFFFFF"/>
        <rFont val="Arial"/>
        <family val="0"/>
        <charset val="1"/>
      </rPr>
      <t xml:space="preserve">2024/11</t>
    </r>
    <r>
      <rPr>
        <b val="true"/>
        <sz val="10"/>
        <color rgb="FFFFFFFF"/>
        <rFont val="WenQuanYi Zen Hei"/>
        <family val="2"/>
      </rPr>
      <t xml:space="preserve">）の結果</t>
    </r>
  </si>
  <si>
    <t xml:space="preserve">関連インシデント</t>
  </si>
  <si>
    <t xml:space="preserve">今回の確認観点</t>
  </si>
  <si>
    <t xml:space="preserve">規程管理</t>
  </si>
  <si>
    <t xml:space="preserve">組織・業務変更に合わせた規程改訂</t>
  </si>
  <si>
    <t xml:space="preserve">△ 組織体制変更時の対応が一部未了</t>
  </si>
  <si>
    <r>
      <rPr>
        <sz val="10"/>
        <rFont val="WenQuanYi Zen Hei"/>
        <family val="2"/>
      </rPr>
      <t xml:space="preserve">未了だった規程の改訂完了有無。</t>
    </r>
    <r>
      <rPr>
        <sz val="10"/>
        <rFont val="Arial"/>
        <family val="0"/>
        <charset val="1"/>
      </rPr>
      <t xml:space="preserve">2026</t>
    </r>
    <r>
      <rPr>
        <sz val="10"/>
        <rFont val="WenQuanYi Zen Hei"/>
        <family val="2"/>
      </rPr>
      <t xml:space="preserve">年の組織変更（</t>
    </r>
    <r>
      <rPr>
        <sz val="10"/>
        <rFont val="Arial"/>
        <family val="0"/>
        <charset val="1"/>
      </rPr>
      <t xml:space="preserve">Log_div</t>
    </r>
    <r>
      <rPr>
        <sz val="10"/>
        <rFont val="WenQuanYi Zen Hei"/>
        <family val="2"/>
      </rPr>
      <t xml:space="preserve">等）の反映。</t>
    </r>
  </si>
  <si>
    <t xml:space="preserve">9</t>
  </si>
  <si>
    <t xml:space="preserve">個人情報保護</t>
  </si>
  <si>
    <t xml:space="preserve">プライバシーポリシーに則った取扱い</t>
  </si>
  <si>
    <t xml:space="preserve">○ 他部署への啓蒙活動を行ってほしい</t>
  </si>
  <si>
    <t xml:space="preserve">ADO-4, ADO-33, SCMG-75</t>
  </si>
  <si>
    <r>
      <rPr>
        <sz val="10"/>
        <rFont val="WenQuanYi Zen Hei"/>
        <family val="2"/>
      </rPr>
      <t xml:space="preserve">自部門の個人情報取扱い（候補者情報・人事情報の発信）の</t>
    </r>
    <r>
      <rPr>
        <sz val="10"/>
        <rFont val="Arial"/>
        <family val="0"/>
        <charset val="1"/>
      </rPr>
      <t xml:space="preserve">W</t>
    </r>
    <r>
      <rPr>
        <sz val="10"/>
        <rFont val="WenQuanYi Zen Hei"/>
        <family val="2"/>
      </rPr>
      <t xml:space="preserve">チェック運用。</t>
    </r>
  </si>
  <si>
    <t xml:space="preserve">11</t>
  </si>
  <si>
    <t xml:space="preserve">情報管理</t>
  </si>
  <si>
    <t xml:space="preserve">アクセス制限・退職時のアカウント管理</t>
  </si>
  <si>
    <r>
      <rPr>
        <sz val="10"/>
        <rFont val="WenQuanYi Zen Hei"/>
        <family val="2"/>
      </rPr>
      <t xml:space="preserve">○ 退職者の</t>
    </r>
    <r>
      <rPr>
        <sz val="10"/>
        <rFont val="Arial"/>
        <family val="0"/>
        <charset val="1"/>
      </rPr>
      <t xml:space="preserve">DOMO</t>
    </r>
    <r>
      <rPr>
        <sz val="10"/>
        <rFont val="WenQuanYi Zen Hei"/>
        <family val="2"/>
      </rPr>
      <t xml:space="preserve">パスワード変更までの日数を決めた方がよい</t>
    </r>
  </si>
  <si>
    <r>
      <rPr>
        <sz val="10"/>
        <rFont val="Arial"/>
        <family val="0"/>
        <charset val="1"/>
      </rPr>
      <t xml:space="preserve">SCMG-79</t>
    </r>
    <r>
      <rPr>
        <sz val="10"/>
        <rFont val="WenQuanYi Zen Hei"/>
        <family val="2"/>
      </rPr>
      <t xml:space="preserve">（倉庫共有アカウント）</t>
    </r>
  </si>
  <si>
    <t xml:space="preserve">日数ルールの設定有無。各部門の共有アカウントの棚卸し。</t>
  </si>
  <si>
    <t xml:space="preserve">14</t>
  </si>
  <si>
    <t xml:space="preserve">決裁ルート</t>
  </si>
  <si>
    <r>
      <rPr>
        <sz val="10"/>
        <rFont val="WenQuanYi Zen Hei"/>
        <family val="2"/>
      </rPr>
      <t xml:space="preserve">稟議・決裁基準表に基づく</t>
    </r>
    <r>
      <rPr>
        <sz val="10"/>
        <rFont val="Arial"/>
        <family val="0"/>
        <charset val="1"/>
      </rPr>
      <t xml:space="preserve">WF</t>
    </r>
    <r>
      <rPr>
        <sz val="10"/>
        <rFont val="WenQuanYi Zen Hei"/>
        <family val="2"/>
      </rPr>
      <t xml:space="preserve">承認</t>
    </r>
  </si>
  <si>
    <t xml:space="preserve">○ 管理されている</t>
  </si>
  <si>
    <r>
      <rPr>
        <sz val="10"/>
        <rFont val="Arial"/>
        <family val="0"/>
        <charset val="1"/>
      </rPr>
      <t xml:space="preserve">ADO-25, SCMG-54, SCMG-64, GRG</t>
    </r>
    <r>
      <rPr>
        <sz val="10"/>
        <rFont val="WenQuanYi Zen Hei"/>
        <family val="2"/>
      </rPr>
      <t xml:space="preserve">事後稟議</t>
    </r>
  </si>
  <si>
    <r>
      <rPr>
        <sz val="10"/>
        <rFont val="Arial"/>
        <family val="0"/>
        <charset val="1"/>
      </rPr>
      <t xml:space="preserve">ADO</t>
    </r>
    <r>
      <rPr>
        <sz val="10"/>
        <rFont val="WenQuanYi Zen Hei"/>
        <family val="2"/>
      </rPr>
      <t xml:space="preserve">自身で事後稟議が発生。全社の事後稟議件数の把握と再発防止策。</t>
    </r>
  </si>
  <si>
    <t xml:space="preserve">15</t>
  </si>
  <si>
    <t xml:space="preserve">現預金</t>
  </si>
  <si>
    <t xml:space="preserve">帳簿残高と銀行残高の照合</t>
  </si>
  <si>
    <t xml:space="preserve">○ 実施している</t>
  </si>
  <si>
    <r>
      <rPr>
        <sz val="10"/>
        <rFont val="Arial"/>
        <family val="0"/>
        <charset val="1"/>
      </rPr>
      <t xml:space="preserve">ADO-17, 19, 21, 30</t>
    </r>
    <r>
      <rPr>
        <sz val="10"/>
        <rFont val="WenQuanYi Zen Hei"/>
        <family val="2"/>
      </rPr>
      <t xml:space="preserve">（過重払い・支払漏れ）</t>
    </r>
  </si>
  <si>
    <t xml:space="preserve">照合で過重払いが検知されたか。資産照合の月次実施記録。</t>
  </si>
  <si>
    <t xml:space="preserve">16</t>
  </si>
  <si>
    <t xml:space="preserve">小口現金</t>
  </si>
  <si>
    <t xml:space="preserve">小口現金の処理</t>
  </si>
  <si>
    <t xml:space="preserve">○ エコセールの現預金不一致を精査中</t>
  </si>
  <si>
    <t xml:space="preserve">エコセール現預金不一致の精査結果と再発防止。</t>
  </si>
  <si>
    <t xml:space="preserve">17</t>
  </si>
  <si>
    <t xml:space="preserve">借入金</t>
  </si>
  <si>
    <t xml:space="preserve">返済予定表どおりの返済</t>
  </si>
  <si>
    <t xml:space="preserve">○ 行われている</t>
  </si>
  <si>
    <r>
      <rPr>
        <sz val="10"/>
        <rFont val="Arial"/>
        <family val="0"/>
        <charset val="1"/>
      </rPr>
      <t xml:space="preserve">ADO-23</t>
    </r>
    <r>
      <rPr>
        <sz val="10"/>
        <rFont val="WenQuanYi Zen Hei"/>
        <family val="2"/>
      </rPr>
      <t xml:space="preserve">（銀行遵守事項違反）</t>
    </r>
  </si>
  <si>
    <t xml:space="preserve">財務制限条項の一覧管理と月次確認。取締役会・監査役への報告。</t>
  </si>
  <si>
    <t xml:space="preserve">18</t>
  </si>
  <si>
    <t xml:space="preserve">会計方針</t>
  </si>
  <si>
    <t xml:space="preserve">重要な会計方針の変更</t>
  </si>
  <si>
    <t xml:space="preserve">○ 変更はない</t>
  </si>
  <si>
    <r>
      <rPr>
        <sz val="10"/>
        <rFont val="Arial"/>
        <family val="0"/>
        <charset val="1"/>
      </rPr>
      <t xml:space="preserve">ADO-24</t>
    </r>
    <r>
      <rPr>
        <sz val="10"/>
        <rFont val="WenQuanYi Zen Hei"/>
        <family val="2"/>
      </rPr>
      <t xml:space="preserve">（消費税区分）</t>
    </r>
  </si>
  <si>
    <r>
      <rPr>
        <sz val="10"/>
        <rFont val="WenQuanYi Zen Hei"/>
        <family val="2"/>
      </rPr>
      <t xml:space="preserve">取引形態変更時の税区分見直しルール。</t>
    </r>
    <r>
      <rPr>
        <sz val="10"/>
        <rFont val="Arial"/>
        <family val="0"/>
        <charset val="1"/>
      </rPr>
      <t xml:space="preserve">AI</t>
    </r>
    <r>
      <rPr>
        <sz val="10"/>
        <rFont val="WenQuanYi Zen Hei"/>
        <family val="2"/>
      </rPr>
      <t xml:space="preserve">チェックへの反映。</t>
    </r>
  </si>
  <si>
    <t xml:space="preserve">20</t>
  </si>
  <si>
    <t xml:space="preserve">労務</t>
  </si>
  <si>
    <t xml:space="preserve">三六協定違反等</t>
  </si>
  <si>
    <t xml:space="preserve">○ 発生していない</t>
  </si>
  <si>
    <r>
      <rPr>
        <sz val="10"/>
        <rFont val="Arial"/>
        <family val="0"/>
        <charset val="1"/>
      </rPr>
      <t xml:space="preserve">GRG</t>
    </r>
    <r>
      <rPr>
        <sz val="10"/>
        <rFont val="WenQuanYi Zen Hei"/>
        <family val="2"/>
      </rPr>
      <t xml:space="preserve">監査で</t>
    </r>
    <r>
      <rPr>
        <sz val="10"/>
        <rFont val="Arial"/>
        <family val="0"/>
        <charset val="1"/>
      </rPr>
      <t xml:space="preserve">45</t>
    </r>
    <r>
      <rPr>
        <sz val="10"/>
        <rFont val="WenQuanYi Zen Hei"/>
        <family val="2"/>
      </rPr>
      <t xml:space="preserve">時間超</t>
    </r>
    <r>
      <rPr>
        <sz val="10"/>
        <rFont val="Arial"/>
        <family val="0"/>
        <charset val="1"/>
      </rPr>
      <t xml:space="preserve">4</t>
    </r>
    <r>
      <rPr>
        <sz val="10"/>
        <rFont val="WenQuanYi Zen Hei"/>
        <family val="2"/>
      </rPr>
      <t xml:space="preserve">回のメンバーあり</t>
    </r>
  </si>
  <si>
    <t xml:space="preserve">全社の残業時間モニタリングと特別条項の運用。</t>
  </si>
  <si>
    <t xml:space="preserve">21</t>
  </si>
  <si>
    <t xml:space="preserve">服務不安定な社員の管理</t>
  </si>
  <si>
    <t xml:space="preserve">○ 基準は明確に設定していない</t>
  </si>
  <si>
    <r>
      <rPr>
        <sz val="10"/>
        <rFont val="Arial"/>
        <family val="0"/>
        <charset val="1"/>
      </rPr>
      <t xml:space="preserve">ADO-29</t>
    </r>
    <r>
      <rPr>
        <sz val="10"/>
        <rFont val="WenQuanYi Zen Hei"/>
        <family val="2"/>
      </rPr>
      <t xml:space="preserve">（休職復帰者）</t>
    </r>
  </si>
  <si>
    <t xml:space="preserve">休職・復帰時の給与・勤怠処理の手順（マニュアル化されたか）。</t>
  </si>
  <si>
    <t xml:space="preserve">23</t>
  </si>
  <si>
    <t xml:space="preserve">安全衛生</t>
  </si>
  <si>
    <t xml:space="preserve">衛生委員会の定期開催</t>
  </si>
  <si>
    <t xml:space="preserve">△ 議事録作成が後手</t>
  </si>
  <si>
    <t xml:space="preserve">議事録の適時作成の仕組み化。開催実績。</t>
  </si>
  <si>
    <r>
      <rPr>
        <sz val="10"/>
        <rFont val="Arial"/>
        <family val="0"/>
        <charset val="1"/>
      </rPr>
      <t xml:space="preserve">25</t>
    </r>
    <r>
      <rPr>
        <sz val="10"/>
        <rFont val="WenQuanYi Zen Hei"/>
        <family val="2"/>
      </rPr>
      <t xml:space="preserve">・</t>
    </r>
    <r>
      <rPr>
        <sz val="10"/>
        <rFont val="Arial"/>
        <family val="0"/>
        <charset val="1"/>
      </rPr>
      <t xml:space="preserve">26</t>
    </r>
  </si>
  <si>
    <t xml:space="preserve">反社排除</t>
  </si>
  <si>
    <t xml:space="preserve">新規・既存取引先の反社チェック</t>
  </si>
  <si>
    <r>
      <rPr>
        <sz val="10"/>
        <rFont val="Arial"/>
        <family val="0"/>
        <charset val="1"/>
      </rPr>
      <t xml:space="preserve">SCMG-54</t>
    </r>
    <r>
      <rPr>
        <sz val="10"/>
        <rFont val="WenQuanYi Zen Hei"/>
        <family val="2"/>
      </rPr>
      <t xml:space="preserve">（反社チェック未了で契約申請）</t>
    </r>
  </si>
  <si>
    <t xml:space="preserve">反社チェック済みとの虚偽申請を検知できるか。既存先の定期チェックの実施記録。</t>
  </si>
  <si>
    <t xml:space="preserve">28</t>
  </si>
  <si>
    <t xml:space="preserve">契約</t>
  </si>
  <si>
    <t xml:space="preserve">契約一覧表による期限管理</t>
  </si>
  <si>
    <t xml:space="preserve">○ 定期的に確認</t>
  </si>
  <si>
    <r>
      <rPr>
        <sz val="10"/>
        <rFont val="Arial"/>
        <family val="0"/>
        <charset val="1"/>
      </rPr>
      <t xml:space="preserve">ADO-11, ADO-14</t>
    </r>
    <r>
      <rPr>
        <sz val="10"/>
        <rFont val="WenQuanYi Zen Hei"/>
        <family val="2"/>
      </rPr>
      <t xml:space="preserve">（契約更新漏れ）</t>
    </r>
  </si>
  <si>
    <r>
      <rPr>
        <sz val="10"/>
        <rFont val="WenQuanYi Zen Hei"/>
        <family val="2"/>
      </rPr>
      <t xml:space="preserve">契約書台帳の網羅性（電子契約）と</t>
    </r>
    <r>
      <rPr>
        <sz val="10"/>
        <rFont val="Arial"/>
        <family val="0"/>
        <charset val="1"/>
      </rPr>
      <t xml:space="preserve">Bot</t>
    </r>
    <r>
      <rPr>
        <sz val="10"/>
        <rFont val="WenQuanYi Zen Hei"/>
        <family val="2"/>
      </rPr>
      <t xml:space="preserve">アラートの再構築状況。</t>
    </r>
  </si>
  <si>
    <t xml:space="preserve">有効性（抜粋）</t>
  </si>
  <si>
    <t xml:space="preserve">ADG-1</t>
  </si>
  <si>
    <r>
      <rPr>
        <sz val="10"/>
        <rFont val="Arial"/>
        <family val="0"/>
        <charset val="1"/>
      </rPr>
      <t xml:space="preserve">2020</t>
    </r>
    <r>
      <rPr>
        <sz val="10"/>
        <rFont val="WenQuanYi Zen Hei"/>
        <family val="2"/>
      </rPr>
      <t xml:space="preserve">年</t>
    </r>
    <r>
      <rPr>
        <sz val="10"/>
        <rFont val="Arial"/>
        <family val="0"/>
        <charset val="1"/>
      </rPr>
      <t xml:space="preserve">6</t>
    </r>
    <r>
      <rPr>
        <sz val="10"/>
        <rFont val="WenQuanYi Zen Hei"/>
        <family val="2"/>
      </rPr>
      <t xml:space="preserve">月期末の</t>
    </r>
    <r>
      <rPr>
        <sz val="10"/>
        <rFont val="Arial"/>
        <family val="0"/>
        <charset val="1"/>
      </rPr>
      <t xml:space="preserve">Fitting</t>
    </r>
    <r>
      <rPr>
        <sz val="10"/>
        <rFont val="WenQuanYi Zen Hei"/>
        <family val="2"/>
      </rPr>
      <t xml:space="preserve">の商品評価損ずれ</t>
    </r>
  </si>
  <si>
    <t xml:space="preserve">無</t>
  </si>
  <si>
    <t xml:space="preserve">決算数値への影響なし</t>
  </si>
  <si>
    <t xml:space="preserve">原因がエクセルを使用したマニュアル計算の誤りであり、決算業務に関するチェック体制が不十分であったと考えられるため、同様の原因による誤りについて確認する必要があると考えます。
こちらはチェックリストを作成しましたので、別紙でご説明させていただきます。</t>
  </si>
  <si>
    <t xml:space="preserve">ADG-2</t>
  </si>
  <si>
    <t xml:space="preserve">支払い遅延</t>
  </si>
  <si>
    <t xml:space="preserve">前払いについてはスプレッドシートを使用して別途管理を実施する。
（運用検討中）</t>
  </si>
  <si>
    <t xml:space="preserve">mash</t>
  </si>
  <si>
    <t xml:space="preserve">ADG-3</t>
  </si>
  <si>
    <t xml:space="preserve">給与間違い</t>
  </si>
  <si>
    <t xml:space="preserve">対象者１名
決算数値への影響あり</t>
  </si>
  <si>
    <t xml:space="preserve">正社員雇用契約承認申請を申請する際、内定通知書も一緒に提出する。</t>
  </si>
  <si>
    <t xml:space="preserve">ADG-4</t>
  </si>
  <si>
    <t xml:space="preserve">郵送物のあて先と内容物の相違</t>
  </si>
  <si>
    <t xml:space="preserve">郵送完了前に取戻しを行ったため、実影響はなし</t>
  </si>
  <si>
    <t xml:space="preserve">発送業務の操作担当者のほか、チェック者を立ててダブルチェックを実施する</t>
  </si>
  <si>
    <t xml:space="preserve">ADG-5</t>
  </si>
  <si>
    <t xml:space="preserve">給与（交通費）支給漏れ</t>
  </si>
  <si>
    <r>
      <rPr>
        <sz val="10"/>
        <rFont val="WenQuanYi Zen Hei"/>
        <family val="2"/>
      </rPr>
      <t xml:space="preserve">対象者</t>
    </r>
    <r>
      <rPr>
        <sz val="10"/>
        <rFont val="Arial"/>
        <family val="0"/>
        <charset val="1"/>
      </rPr>
      <t xml:space="preserve">1</t>
    </r>
    <r>
      <rPr>
        <sz val="10"/>
        <rFont val="WenQuanYi Zen Hei"/>
        <family val="2"/>
      </rPr>
      <t xml:space="preserve">名</t>
    </r>
  </si>
  <si>
    <t xml:space="preserve">12390.0</t>
  </si>
  <si>
    <r>
      <rPr>
        <sz val="10"/>
        <rFont val="WenQuanYi Zen Hei"/>
        <family val="2"/>
      </rPr>
      <t xml:space="preserve">イレギュラー事項が発生した場合、社労士連携シートへその場で記入する
イレギュラー対応が発生することを事前に本人へ連絡をする際に、必ず</t>
    </r>
    <r>
      <rPr>
        <sz val="10"/>
        <rFont val="Arial"/>
        <family val="0"/>
        <charset val="1"/>
      </rPr>
      <t xml:space="preserve">cc</t>
    </r>
    <r>
      <rPr>
        <sz val="10"/>
        <rFont val="WenQuanYi Zen Hei"/>
        <family val="2"/>
      </rPr>
      <t xml:space="preserve">に</t>
    </r>
    <r>
      <rPr>
        <sz val="10"/>
        <rFont val="Arial"/>
        <family val="0"/>
        <charset val="1"/>
      </rPr>
      <t xml:space="preserve">kurachan</t>
    </r>
    <r>
      <rPr>
        <sz val="10"/>
        <rFont val="WenQuanYi Zen Hei"/>
        <family val="2"/>
      </rPr>
      <t xml:space="preserve">を入れる</t>
    </r>
  </si>
  <si>
    <t xml:space="preserve">morimo</t>
  </si>
  <si>
    <t xml:space="preserve">ADG-6</t>
  </si>
  <si>
    <t xml:space="preserve">給与（交通費）支給間違い</t>
  </si>
  <si>
    <t xml:space="preserve">-8704.0</t>
  </si>
  <si>
    <r>
      <rPr>
        <sz val="10"/>
        <rFont val="WenQuanYi Zen Hei"/>
        <family val="2"/>
      </rPr>
      <t xml:space="preserve">入社時もしくは登録情報変更時に、</t>
    </r>
    <r>
      <rPr>
        <sz val="10"/>
        <rFont val="Arial"/>
        <family val="0"/>
        <charset val="1"/>
      </rPr>
      <t xml:space="preserve">SmartHR</t>
    </r>
    <r>
      <rPr>
        <sz val="10"/>
        <rFont val="WenQuanYi Zen Hei"/>
        <family val="2"/>
      </rPr>
      <t xml:space="preserve">の情報を転記する際、必ず</t>
    </r>
    <r>
      <rPr>
        <sz val="10"/>
        <rFont val="Arial"/>
        <family val="0"/>
        <charset val="1"/>
      </rPr>
      <t xml:space="preserve">kurachan</t>
    </r>
    <r>
      <rPr>
        <sz val="10"/>
        <rFont val="WenQuanYi Zen Hei"/>
        <family val="2"/>
      </rPr>
      <t xml:space="preserve">に</t>
    </r>
    <r>
      <rPr>
        <sz val="10"/>
        <rFont val="Arial"/>
        <family val="0"/>
        <charset val="1"/>
      </rPr>
      <t xml:space="preserve">W</t>
    </r>
    <r>
      <rPr>
        <sz val="10"/>
        <rFont val="WenQuanYi Zen Hei"/>
        <family val="2"/>
      </rPr>
      <t xml:space="preserve">チェックをしていただく</t>
    </r>
  </si>
  <si>
    <t xml:space="preserve">ADG-7</t>
  </si>
  <si>
    <t xml:space="preserve">10970.0</t>
  </si>
  <si>
    <r>
      <rPr>
        <sz val="10"/>
        <rFont val="Arial"/>
        <family val="0"/>
        <charset val="1"/>
      </rPr>
      <t xml:space="preserve">PSG</t>
    </r>
    <r>
      <rPr>
        <sz val="10"/>
        <rFont val="WenQuanYi Zen Hei"/>
        <family val="2"/>
      </rPr>
      <t xml:space="preserve">からのリモートメンバー一覧を、給与計算前に</t>
    </r>
    <r>
      <rPr>
        <sz val="10"/>
        <rFont val="Arial"/>
        <family val="0"/>
        <charset val="1"/>
      </rPr>
      <t xml:space="preserve">PSG</t>
    </r>
    <r>
      <rPr>
        <sz val="10"/>
        <rFont val="WenQuanYi Zen Hei"/>
        <family val="2"/>
      </rPr>
      <t xml:space="preserve">に最終チェックをしていただく
⇒社労士連携シートに転記した情報を</t>
    </r>
    <r>
      <rPr>
        <sz val="10"/>
        <rFont val="Arial"/>
        <family val="0"/>
        <charset val="1"/>
      </rPr>
      <t xml:space="preserve">kurachan</t>
    </r>
    <r>
      <rPr>
        <sz val="10"/>
        <rFont val="WenQuanYi Zen Hei"/>
        <family val="2"/>
      </rPr>
      <t xml:space="preserve">にＷチェックしていただく</t>
    </r>
  </si>
  <si>
    <t xml:space="preserve">ADG-8</t>
  </si>
  <si>
    <r>
      <rPr>
        <sz val="10"/>
        <rFont val="Arial"/>
        <family val="0"/>
        <charset val="1"/>
      </rPr>
      <t xml:space="preserve">1</t>
    </r>
    <r>
      <rPr>
        <sz val="10"/>
        <rFont val="WenQuanYi Zen Hei"/>
        <family val="2"/>
      </rPr>
      <t xml:space="preserve">月給与のスタイリスト報酬の過払い（対象者</t>
    </r>
    <r>
      <rPr>
        <sz val="10"/>
        <rFont val="Arial"/>
        <family val="0"/>
        <charset val="1"/>
      </rPr>
      <t xml:space="preserve">10</t>
    </r>
    <r>
      <rPr>
        <sz val="10"/>
        <rFont val="WenQuanYi Zen Hei"/>
        <family val="2"/>
      </rPr>
      <t xml:space="preserve">名）</t>
    </r>
  </si>
  <si>
    <r>
      <rPr>
        <sz val="10"/>
        <rFont val="WenQuanYi Zen Hei"/>
        <family val="2"/>
      </rPr>
      <t xml:space="preserve">対象者</t>
    </r>
    <r>
      <rPr>
        <sz val="10"/>
        <rFont val="Arial"/>
        <family val="0"/>
        <charset val="1"/>
      </rPr>
      <t xml:space="preserve">10</t>
    </r>
    <r>
      <rPr>
        <sz val="10"/>
        <rFont val="WenQuanYi Zen Hei"/>
        <family val="2"/>
      </rPr>
      <t xml:space="preserve">名</t>
    </r>
  </si>
  <si>
    <r>
      <rPr>
        <sz val="10"/>
        <rFont val="WenQuanYi Zen Hei"/>
        <family val="2"/>
      </rPr>
      <t xml:space="preserve">①社労士様へ計算依頼をする前にデータを</t>
    </r>
    <r>
      <rPr>
        <sz val="10"/>
        <rFont val="Arial"/>
        <family val="0"/>
        <charset val="1"/>
      </rPr>
      <t xml:space="preserve">PSG</t>
    </r>
    <r>
      <rPr>
        <sz val="10"/>
        <rFont val="WenQuanYi Zen Hei"/>
        <family val="2"/>
      </rPr>
      <t xml:space="preserve">側に確認していただき認識を合わせる
（②報酬額の内訳を</t>
    </r>
    <r>
      <rPr>
        <sz val="10"/>
        <rFont val="Arial"/>
        <family val="0"/>
        <charset val="1"/>
      </rPr>
      <t xml:space="preserve">PSG</t>
    </r>
    <r>
      <rPr>
        <sz val="10"/>
        <rFont val="WenQuanYi Zen Hei"/>
        <family val="2"/>
      </rPr>
      <t xml:space="preserve">より共有いただき違和感ないかを</t>
    </r>
    <r>
      <rPr>
        <sz val="10"/>
        <rFont val="Arial"/>
        <family val="0"/>
        <charset val="1"/>
      </rPr>
      <t xml:space="preserve">ADG</t>
    </r>
    <r>
      <rPr>
        <sz val="10"/>
        <rFont val="WenQuanYi Zen Hei"/>
        <family val="2"/>
      </rPr>
      <t xml:space="preserve">でも見る）</t>
    </r>
  </si>
  <si>
    <t xml:space="preserve">ADG-9</t>
  </si>
  <si>
    <t xml:space="preserve">経費の振込漏れ</t>
  </si>
  <si>
    <r>
      <rPr>
        <sz val="10"/>
        <rFont val="WenQuanYi Zen Hei"/>
        <family val="2"/>
      </rPr>
      <t xml:space="preserve">対象者</t>
    </r>
    <r>
      <rPr>
        <sz val="10"/>
        <rFont val="Arial"/>
        <family val="0"/>
        <charset val="1"/>
      </rPr>
      <t xml:space="preserve">4</t>
    </r>
    <r>
      <rPr>
        <sz val="10"/>
        <rFont val="WenQuanYi Zen Hei"/>
        <family val="2"/>
      </rPr>
      <t xml:space="preserve">名</t>
    </r>
  </si>
  <si>
    <t xml:space="preserve">支払対象リストの絞り込みを正しい方法に直したので今後は起きない想定。
一方、口座情報及び、取引先情報が正しく入力できているか、振込前にチェックする体制に変更を行った。</t>
  </si>
  <si>
    <t xml:space="preserve">ADG-10</t>
  </si>
  <si>
    <t xml:space="preserve">シェア割ロジックにおける景表法一部抵触の可能性</t>
  </si>
  <si>
    <t xml:space="preserve">無し</t>
  </si>
  <si>
    <t xml:space="preserve">常に変動しており、現状把握困難。</t>
  </si>
  <si>
    <r>
      <rPr>
        <sz val="10"/>
        <rFont val="WenQuanYi Zen Hei"/>
        <family val="2"/>
      </rPr>
      <t xml:space="preserve">法務相談の種類により以下のように体制を変更する。
・単独で動いている外部弁護士には、契約書レビュー等、アウトプットが明確なものを依頼する。
・法律的な適正性等については弁護士のダブルチェックが受けられる外部委託先に依頼する。
・重要度（リスク）が高いにも関わらず期日感等で、急ぎの相談の場合は</t>
    </r>
    <r>
      <rPr>
        <sz val="10"/>
        <rFont val="Arial"/>
        <family val="0"/>
        <charset val="1"/>
      </rPr>
      <t xml:space="preserve">ADG</t>
    </r>
    <r>
      <rPr>
        <sz val="10"/>
        <rFont val="WenQuanYi Zen Hei"/>
        <family val="2"/>
      </rPr>
      <t xml:space="preserve">が必ず関与する。</t>
    </r>
  </si>
  <si>
    <t xml:space="preserve">ADG-11</t>
  </si>
  <si>
    <t xml:space="preserve">事業所税の従業員割に係る申告額に誤りがあった</t>
  </si>
  <si>
    <r>
      <rPr>
        <sz val="10"/>
        <rFont val="Arial"/>
        <family val="0"/>
        <charset val="1"/>
      </rPr>
      <t xml:space="preserve">250,000</t>
    </r>
    <r>
      <rPr>
        <sz val="10"/>
        <rFont val="WenQuanYi Zen Hei"/>
        <family val="2"/>
      </rPr>
      <t xml:space="preserve">円弱（延滞金含む）</t>
    </r>
  </si>
  <si>
    <t xml:space="preserve">顧問税理士によるチェックを実施する
各種数字の算出根拠についてマニュアルを作成する</t>
  </si>
  <si>
    <t xml:space="preserve">ADG-12</t>
  </si>
  <si>
    <t xml:space="preserve">給与額のミス</t>
  </si>
  <si>
    <r>
      <rPr>
        <sz val="10"/>
        <rFont val="Arial"/>
        <family val="0"/>
        <charset val="1"/>
      </rPr>
      <t xml:space="preserve">11</t>
    </r>
    <r>
      <rPr>
        <sz val="10"/>
        <rFont val="WenQuanYi Zen Hei"/>
        <family val="2"/>
      </rPr>
      <t xml:space="preserve">月</t>
    </r>
    <r>
      <rPr>
        <sz val="10"/>
        <rFont val="Arial"/>
        <family val="0"/>
        <charset val="1"/>
      </rPr>
      <t xml:space="preserve">25</t>
    </r>
    <r>
      <rPr>
        <sz val="10"/>
        <rFont val="WenQuanYi Zen Hei"/>
        <family val="2"/>
      </rPr>
      <t xml:space="preserve">日支給　</t>
    </r>
    <r>
      <rPr>
        <sz val="10"/>
        <rFont val="Arial"/>
        <family val="0"/>
        <charset val="1"/>
      </rPr>
      <t xml:space="preserve">1</t>
    </r>
    <r>
      <rPr>
        <sz val="10"/>
        <rFont val="WenQuanYi Zen Hei"/>
        <family val="2"/>
      </rPr>
      <t xml:space="preserve">名
</t>
    </r>
    <r>
      <rPr>
        <sz val="10"/>
        <rFont val="Arial"/>
        <family val="0"/>
        <charset val="1"/>
      </rPr>
      <t xml:space="preserve">12</t>
    </r>
    <r>
      <rPr>
        <sz val="10"/>
        <rFont val="WenQuanYi Zen Hei"/>
        <family val="2"/>
      </rPr>
      <t xml:space="preserve">月</t>
    </r>
    <r>
      <rPr>
        <sz val="10"/>
        <rFont val="Arial"/>
        <family val="0"/>
        <charset val="1"/>
      </rPr>
      <t xml:space="preserve">25</t>
    </r>
    <r>
      <rPr>
        <sz val="10"/>
        <rFont val="WenQuanYi Zen Hei"/>
        <family val="2"/>
      </rPr>
      <t xml:space="preserve">日支給　</t>
    </r>
    <r>
      <rPr>
        <sz val="10"/>
        <rFont val="Arial"/>
        <family val="0"/>
        <charset val="1"/>
      </rPr>
      <t xml:space="preserve">1</t>
    </r>
    <r>
      <rPr>
        <sz val="10"/>
        <rFont val="WenQuanYi Zen Hei"/>
        <family val="2"/>
      </rPr>
      <t xml:space="preserve">名</t>
    </r>
  </si>
  <si>
    <r>
      <rPr>
        <sz val="10"/>
        <rFont val="Arial"/>
        <family val="0"/>
        <charset val="1"/>
      </rPr>
      <t xml:space="preserve">11</t>
    </r>
    <r>
      <rPr>
        <sz val="10"/>
        <rFont val="WenQuanYi Zen Hei"/>
        <family val="2"/>
      </rPr>
      <t xml:space="preserve">月</t>
    </r>
    <r>
      <rPr>
        <sz val="10"/>
        <rFont val="Arial"/>
        <family val="0"/>
        <charset val="1"/>
      </rPr>
      <t xml:space="preserve">25</t>
    </r>
    <r>
      <rPr>
        <sz val="10"/>
        <rFont val="WenQuanYi Zen Hei"/>
        <family val="2"/>
      </rPr>
      <t xml:space="preserve">日支給　</t>
    </r>
    <r>
      <rPr>
        <sz val="10"/>
        <rFont val="Arial"/>
        <family val="0"/>
        <charset val="1"/>
      </rPr>
      <t xml:space="preserve">5,000</t>
    </r>
    <r>
      <rPr>
        <sz val="10"/>
        <rFont val="WenQuanYi Zen Hei"/>
        <family val="2"/>
      </rPr>
      <t xml:space="preserve">円
</t>
    </r>
    <r>
      <rPr>
        <sz val="10"/>
        <rFont val="Arial"/>
        <family val="0"/>
        <charset val="1"/>
      </rPr>
      <t xml:space="preserve">12</t>
    </r>
    <r>
      <rPr>
        <sz val="10"/>
        <rFont val="WenQuanYi Zen Hei"/>
        <family val="2"/>
      </rPr>
      <t xml:space="preserve">月</t>
    </r>
    <r>
      <rPr>
        <sz val="10"/>
        <rFont val="Arial"/>
        <family val="0"/>
        <charset val="1"/>
      </rPr>
      <t xml:space="preserve">25</t>
    </r>
    <r>
      <rPr>
        <sz val="10"/>
        <rFont val="WenQuanYi Zen Hei"/>
        <family val="2"/>
      </rPr>
      <t xml:space="preserve">日支給　</t>
    </r>
    <r>
      <rPr>
        <sz val="10"/>
        <rFont val="Arial"/>
        <family val="0"/>
        <charset val="1"/>
      </rPr>
      <t xml:space="preserve">5,000</t>
    </r>
    <r>
      <rPr>
        <sz val="10"/>
        <rFont val="WenQuanYi Zen Hei"/>
        <family val="2"/>
      </rPr>
      <t xml:space="preserve">円</t>
    </r>
  </si>
  <si>
    <r>
      <rPr>
        <sz val="10"/>
        <rFont val="WenQuanYi Zen Hei"/>
        <family val="2"/>
      </rPr>
      <t xml:space="preserve">入社メンバーがいた場合に</t>
    </r>
    <r>
      <rPr>
        <sz val="10"/>
        <rFont val="Arial"/>
        <family val="0"/>
        <charset val="1"/>
      </rPr>
      <t xml:space="preserve">W</t>
    </r>
    <r>
      <rPr>
        <sz val="10"/>
        <rFont val="WenQuanYi Zen Hei"/>
        <family val="2"/>
      </rPr>
      <t xml:space="preserve">チェックを行う
┗原本と社労士連携シートの金額を照らし合わせる</t>
    </r>
  </si>
  <si>
    <t xml:space="preserve">ADG-13</t>
  </si>
  <si>
    <t xml:space="preserve">水質汚濁防止法にかかる法令違反</t>
  </si>
  <si>
    <r>
      <rPr>
        <sz val="10"/>
        <rFont val="WenQuanYi Zen Hei"/>
        <family val="2"/>
      </rPr>
      <t xml:space="preserve">新規事業およびそれに類するプロジェクトの際は、</t>
    </r>
    <r>
      <rPr>
        <sz val="10"/>
        <rFont val="Arial"/>
        <family val="0"/>
        <charset val="1"/>
      </rPr>
      <t xml:space="preserve">WBS</t>
    </r>
    <r>
      <rPr>
        <sz val="10"/>
        <rFont val="WenQuanYi Zen Hei"/>
        <family val="2"/>
      </rPr>
      <t xml:space="preserve">の中に必ず「関連法令の洗い出し」をタスクとして入れるものとする。
確認先としては、</t>
    </r>
    <r>
      <rPr>
        <sz val="10"/>
        <rFont val="Arial"/>
        <family val="0"/>
        <charset val="1"/>
      </rPr>
      <t xml:space="preserve">GVA</t>
    </r>
    <r>
      <rPr>
        <sz val="10"/>
        <rFont val="WenQuanYi Zen Hei"/>
        <family val="2"/>
      </rPr>
      <t xml:space="preserve">さんや、事業を行う場所の行政（市区町村役所）に問い合わせ。
</t>
    </r>
    <r>
      <rPr>
        <sz val="10"/>
        <rFont val="Arial"/>
        <family val="0"/>
        <charset val="1"/>
      </rPr>
      <t xml:space="preserve">airCloset Mall</t>
    </r>
    <r>
      <rPr>
        <sz val="10"/>
        <rFont val="WenQuanYi Zen Hei"/>
        <family val="2"/>
      </rPr>
      <t xml:space="preserve">に関しては、新規商品を取り扱う際が対象となる。
取引先（仕入先）様との契約書に「当該商品を扱うにあたって関連する法令があるか？ある場合は開示してください」という内容を盛り込…</t>
    </r>
  </si>
  <si>
    <t xml:space="preserve">ADG-14</t>
  </si>
  <si>
    <t xml:space="preserve">現状、以下の統制行為を実施している。
①月次決算終了後、口座残高を確認の上資金移動の要否を経理担当が判断している。
②支払手続実施時に、支払担当が口座残高を確認している。
今回は①で確認はしたものの月末の支払金額を読み違えていたことと、②のフローが漏れてしまっていたために発生。
今後は、原則として①時に余裕を持って資金移動を実施する。②支払手続実施時に、請求書の束と合わせて預金残高を付箋で記載して…</t>
  </si>
  <si>
    <t xml:space="preserve">ADG-15</t>
  </si>
  <si>
    <t xml:space="preserve">支払遅延</t>
  </si>
  <si>
    <r>
      <rPr>
        <sz val="10"/>
        <rFont val="Arial"/>
        <family val="0"/>
        <charset val="1"/>
      </rPr>
      <t xml:space="preserve">1</t>
    </r>
    <r>
      <rPr>
        <sz val="10"/>
        <rFont val="WenQuanYi Zen Hei"/>
        <family val="2"/>
      </rPr>
      <t xml:space="preserve">件約</t>
    </r>
    <r>
      <rPr>
        <sz val="10"/>
        <rFont val="Arial"/>
        <family val="0"/>
        <charset val="1"/>
      </rPr>
      <t xml:space="preserve">150</t>
    </r>
    <r>
      <rPr>
        <sz val="10"/>
        <rFont val="WenQuanYi Zen Hei"/>
        <family val="2"/>
      </rPr>
      <t xml:space="preserve">万円</t>
    </r>
  </si>
  <si>
    <r>
      <rPr>
        <sz val="10"/>
        <rFont val="WenQuanYi Zen Hei"/>
        <family val="2"/>
      </rPr>
      <t xml:space="preserve">約</t>
    </r>
    <r>
      <rPr>
        <sz val="10"/>
        <rFont val="Arial"/>
        <family val="0"/>
        <charset val="1"/>
      </rPr>
      <t xml:space="preserve">150</t>
    </r>
    <r>
      <rPr>
        <sz val="10"/>
        <rFont val="WenQuanYi Zen Hei"/>
        <family val="2"/>
      </rPr>
      <t xml:space="preserve">万円</t>
    </r>
  </si>
  <si>
    <r>
      <rPr>
        <sz val="10"/>
        <rFont val="Arial"/>
        <family val="0"/>
        <charset val="1"/>
      </rPr>
      <t xml:space="preserve">ID</t>
    </r>
    <r>
      <rPr>
        <sz val="10"/>
        <rFont val="WenQuanYi Zen Hei"/>
        <family val="2"/>
      </rPr>
      <t xml:space="preserve">チーム側で請求書到着後にもともとの見積明細と合わせて突き合わせることで、「請求書の受け取り漏れ」についても検知する。
⇒</t>
    </r>
    <r>
      <rPr>
        <sz val="10"/>
        <rFont val="Arial"/>
        <family val="0"/>
        <charset val="1"/>
      </rPr>
      <t xml:space="preserve">PDG</t>
    </r>
    <r>
      <rPr>
        <sz val="10"/>
        <rFont val="WenQuanYi Zen Hei"/>
        <family val="2"/>
      </rPr>
      <t xml:space="preserve">から</t>
    </r>
    <r>
      <rPr>
        <sz val="10"/>
        <rFont val="Arial"/>
        <family val="0"/>
        <charset val="1"/>
      </rPr>
      <t xml:space="preserve">ash</t>
    </r>
    <r>
      <rPr>
        <sz val="10"/>
        <rFont val="WenQuanYi Zen Hei"/>
        <family val="2"/>
      </rPr>
      <t xml:space="preserve">確認を実施予定。</t>
    </r>
  </si>
  <si>
    <t xml:space="preserve">ADG-16</t>
  </si>
  <si>
    <t xml:space="preserve">事後稟議</t>
  </si>
  <si>
    <r>
      <rPr>
        <sz val="10"/>
        <rFont val="WenQuanYi Zen Hei"/>
        <family val="2"/>
      </rPr>
      <t xml:space="preserve">契約書締結に関する</t>
    </r>
    <r>
      <rPr>
        <sz val="10"/>
        <rFont val="Arial"/>
        <family val="0"/>
        <charset val="1"/>
      </rPr>
      <t xml:space="preserve">Slack</t>
    </r>
    <r>
      <rPr>
        <sz val="10"/>
        <rFont val="WenQuanYi Zen Hei"/>
        <family val="2"/>
      </rPr>
      <t xml:space="preserve">チャンネルをリーダーが月次で確認し、事後稟議となる可能性のある案件の有無を把握する。</t>
    </r>
  </si>
  <si>
    <t xml:space="preserve">ADG-17</t>
  </si>
  <si>
    <t xml:space="preserve">経費振込遅延</t>
  </si>
  <si>
    <r>
      <rPr>
        <sz val="10"/>
        <rFont val="Arial"/>
        <family val="0"/>
        <charset val="1"/>
      </rPr>
      <t xml:space="preserve">1</t>
    </r>
    <r>
      <rPr>
        <sz val="10"/>
        <rFont val="WenQuanYi Zen Hei"/>
        <family val="2"/>
      </rPr>
      <t xml:space="preserve">名。</t>
    </r>
    <r>
      <rPr>
        <sz val="10"/>
        <rFont val="Arial"/>
        <family val="0"/>
        <charset val="1"/>
      </rPr>
      <t xml:space="preserve">5,830</t>
    </r>
    <r>
      <rPr>
        <sz val="10"/>
        <rFont val="WenQuanYi Zen Hei"/>
        <family val="2"/>
      </rPr>
      <t xml:space="preserve">円。</t>
    </r>
  </si>
  <si>
    <t xml:space="preserve">無し。</t>
  </si>
  <si>
    <t xml:space="preserve">今回はかなりのイレギュラー対応。支払マスターにおける従業員番号と、労務で使用する従業員番号を統一することを徹底する。</t>
  </si>
  <si>
    <r>
      <rPr>
        <sz val="10"/>
        <rFont val="WenQuanYi Zen Hei"/>
        <family val="2"/>
      </rPr>
      <t xml:space="preserve">ダブルチェックを徹底します。
現状は
・プリントアウトしたものにチェックして欲しい方には印をつける
・</t>
    </r>
    <r>
      <rPr>
        <sz val="10"/>
        <rFont val="Arial"/>
        <family val="0"/>
        <charset val="1"/>
      </rPr>
      <t xml:space="preserve">slack</t>
    </r>
    <r>
      <rPr>
        <sz val="10"/>
        <rFont val="WenQuanYi Zen Hei"/>
        <family val="2"/>
      </rPr>
      <t xml:space="preserve">でお伝えし、可能な限り口頭でも伝える
・ダブルチェックを依頼するために</t>
    </r>
    <r>
      <rPr>
        <sz val="10"/>
        <rFont val="Arial"/>
        <family val="0"/>
        <charset val="1"/>
      </rPr>
      <t xml:space="preserve">shuzo</t>
    </r>
    <r>
      <rPr>
        <sz val="10"/>
        <rFont val="WenQuanYi Zen Hei"/>
        <family val="2"/>
      </rPr>
      <t xml:space="preserve">さんにお渡しする前にデスクに置き
チェック依頼をしていました。
ーーーーーーーーーーーーーーー
今後は入口の部分であるマスター登録のチェックの強化をします。
財務以外のメンバー</t>
    </r>
    <r>
      <rPr>
        <sz val="10"/>
        <rFont val="Arial"/>
        <family val="0"/>
        <charset val="1"/>
      </rPr>
      <t xml:space="preserve">(</t>
    </r>
    <r>
      <rPr>
        <sz val="10"/>
        <rFont val="WenQuanYi Zen Hei"/>
        <family val="2"/>
      </rPr>
      <t xml:space="preserve">経理</t>
    </r>
    <r>
      <rPr>
        <sz val="10"/>
        <rFont val="Arial"/>
        <family val="0"/>
        <charset val="1"/>
      </rPr>
      <t xml:space="preserve">)</t>
    </r>
    <r>
      <rPr>
        <sz val="10"/>
        <rFont val="WenQuanYi Zen Hei"/>
        <family val="2"/>
      </rPr>
      <t xml:space="preserve">にも以下をチェックしても…</t>
    </r>
  </si>
  <si>
    <r>
      <rPr>
        <sz val="10"/>
        <rFont val="WenQuanYi Zen Hei"/>
        <family val="2"/>
      </rPr>
      <t xml:space="preserve">①最終版を</t>
    </r>
    <r>
      <rPr>
        <sz val="10"/>
        <rFont val="Arial"/>
        <family val="0"/>
        <charset val="1"/>
      </rPr>
      <t xml:space="preserve">JOBCAN</t>
    </r>
    <r>
      <rPr>
        <sz val="10"/>
        <rFont val="WenQuanYi Zen Hei"/>
        <family val="2"/>
      </rPr>
      <t xml:space="preserve">に添付することを徹底する。現状では法務依頼は一元化されて管理されているため、チームとして結果を確認している。
②月次で電子契約が網羅的に台帳に記載されていることを確認するフローを入れる。
③今回のインシデントと直接は関係無いが、契約書台帳の区分を、①ひな型による契約（自動更新有り）、②ひな型による契約（自動更新無し）、③その他契約、に分けて管理し、②③は契約満了時点で</t>
    </r>
    <r>
      <rPr>
        <sz val="10"/>
        <rFont val="Arial"/>
        <family val="0"/>
        <charset val="1"/>
      </rPr>
      <t xml:space="preserve">Bot</t>
    </r>
    <r>
      <rPr>
        <sz val="10"/>
        <rFont val="WenQuanYi Zen Hei"/>
        <family val="2"/>
      </rPr>
      <t xml:space="preserve">で…</t>
    </r>
  </si>
  <si>
    <t xml:space="preserve">チェックリストを作成・運用したことで、今回の事象に加え、過去に発生した同様のイレギュラーケースについても確認できる体制を整備しました。
ただ、イレギュラーは他にもあるため、今回のケースはこれで問題無いと考えているが、その他のイレギュラーが発…</t>
  </si>
  <si>
    <r>
      <rPr>
        <sz val="10"/>
        <rFont val="WenQuanYi Zen Hei"/>
        <family val="2"/>
      </rPr>
      <t xml:space="preserve">休職中などで、日割り計算をお願いする場合</t>
    </r>
    <r>
      <rPr>
        <sz val="10"/>
        <rFont val="Arial"/>
        <family val="0"/>
        <charset val="1"/>
      </rPr>
      <t xml:space="preserve">(</t>
    </r>
    <r>
      <rPr>
        <sz val="10"/>
        <rFont val="WenQuanYi Zen Hei"/>
        <family val="2"/>
      </rPr>
      <t xml:space="preserve">前月の給与を支給していない育休、休職者</t>
    </r>
    <r>
      <rPr>
        <sz val="10"/>
        <rFont val="Arial"/>
        <family val="0"/>
        <charset val="1"/>
      </rPr>
      <t xml:space="preserve">)</t>
    </r>
    <r>
      <rPr>
        <sz val="10"/>
        <rFont val="WenQuanYi Zen Hei"/>
        <family val="2"/>
      </rPr>
      <t xml:space="preserve">は個別で勤怠データをチェックします。
勤怠締め前にピックアップして該当者の出勤簿を確認します。
出勤簿上で有給の日数を含めた、正しい日数を確認し、
社労士に連携する勤怠データの出勤日数を修正する。</t>
    </r>
    <r>
      <rPr>
        <sz val="10"/>
        <rFont val="Arial"/>
        <family val="0"/>
        <charset val="1"/>
      </rPr>
      <t xml:space="preserve">(</t>
    </r>
    <r>
      <rPr>
        <sz val="10"/>
        <rFont val="WenQuanYi Zen Hei"/>
        <family val="2"/>
      </rPr>
      <t xml:space="preserve">有給を取得している場合は日数が合っていない前提です。</t>
    </r>
    <r>
      <rPr>
        <sz val="10"/>
        <rFont val="Arial"/>
        <family val="0"/>
        <charset val="1"/>
      </rPr>
      <t xml:space="preserve">)
</t>
    </r>
    <r>
      <rPr>
        <sz val="10"/>
        <rFont val="WenQuanYi Zen Hei"/>
        <family val="2"/>
      </rPr>
      <t xml:space="preserve">上記をマニュアルに記載しました。
</t>
    </r>
    <r>
      <rPr>
        <sz val="10"/>
        <rFont val="Arial"/>
        <family val="0"/>
        <charset val="1"/>
      </rPr>
      <t xml:space="preserve">https://docs.go…</t>
    </r>
  </si>
  <si>
    <r>
      <rPr>
        <sz val="10"/>
        <rFont val="Arial"/>
        <family val="0"/>
        <charset val="1"/>
      </rPr>
      <t xml:space="preserve">CSV</t>
    </r>
    <r>
      <rPr>
        <sz val="10"/>
        <rFont val="WenQuanYi Zen Hei"/>
        <family val="2"/>
      </rPr>
      <t xml:space="preserve">等から一括で休暇付与を行った場合は、登録後に雇用形態（正社員・非正規）ごとに複数名を抽出し、付与日数・付与回数に重複がないか確認する。
マニュアルにも追加済です。
</t>
    </r>
    <r>
      <rPr>
        <sz val="10"/>
        <rFont val="Arial"/>
        <family val="0"/>
        <charset val="1"/>
      </rPr>
      <t xml:space="preserve">https://docs.google.com/spreadsheets/d/1LyRH1uTL6xVHQtA-N7jDdTWY0tFNORHzsbPYan8tSts/edit?gid=1543605334#gid=1543605…</t>
    </r>
  </si>
</sst>
</file>

<file path=xl/styles.xml><?xml version="1.0" encoding="utf-8"?>
<styleSheet xmlns="http://schemas.openxmlformats.org/spreadsheetml/2006/main">
  <numFmts count="5">
    <numFmt numFmtId="164" formatCode="General"/>
    <numFmt numFmtId="165" formatCode="yyyy/mm/dd"/>
    <numFmt numFmtId="166" formatCode="General"/>
    <numFmt numFmtId="167" formatCode="0.0%"/>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b val="true"/>
      <sz val="14"/>
      <name val="Arial"/>
      <family val="0"/>
      <charset val="1"/>
    </font>
    <font>
      <sz val="10"/>
      <name val="WenQuanYi Zen Hei"/>
      <family val="2"/>
    </font>
    <font>
      <sz val="10"/>
      <name val="Arial"/>
      <family val="0"/>
      <charset val="1"/>
    </font>
    <font>
      <b val="true"/>
      <sz val="10"/>
      <color rgb="FFB71C1C"/>
      <name val="WenQuanYi Zen Hei"/>
      <family val="2"/>
    </font>
    <font>
      <b val="true"/>
      <sz val="10"/>
      <color rgb="FFB71C1C"/>
      <name val="Arial"/>
      <family val="0"/>
      <charset val="1"/>
    </font>
    <font>
      <b val="true"/>
      <sz val="10"/>
      <name val="WenQuanYi Zen Hei"/>
      <family val="2"/>
    </font>
    <font>
      <b val="true"/>
      <sz val="10"/>
      <color rgb="FFFFFFFF"/>
      <name val="Arial"/>
      <family val="0"/>
      <charset val="1"/>
    </font>
    <font>
      <b val="true"/>
      <sz val="10"/>
      <color rgb="FFFFFFFF"/>
      <name val="WenQuanYi Zen Hei"/>
      <family val="2"/>
    </font>
    <font>
      <sz val="10"/>
      <name val="Arial"/>
      <family val="2"/>
    </font>
    <font>
      <b val="true"/>
      <sz val="10"/>
      <name val="Arial"/>
      <family val="0"/>
      <charset val="1"/>
    </font>
  </fonts>
  <fills count="6">
    <fill>
      <patternFill patternType="none"/>
    </fill>
    <fill>
      <patternFill patternType="gray125"/>
    </fill>
    <fill>
      <patternFill patternType="solid">
        <fgColor rgb="FF1A3A6B"/>
        <bgColor rgb="FF333399"/>
      </patternFill>
    </fill>
    <fill>
      <patternFill patternType="solid">
        <fgColor rgb="FFF2F2F2"/>
        <bgColor rgb="FFFCE4EC"/>
      </patternFill>
    </fill>
    <fill>
      <patternFill patternType="solid">
        <fgColor rgb="FFFFF2CC"/>
        <bgColor rgb="FFF2F2F2"/>
      </patternFill>
    </fill>
    <fill>
      <patternFill patternType="solid">
        <fgColor rgb="FFFCE4E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7"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6" fontId="14"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8" fontId="14" fillId="3" borderId="1" xfId="0" applyFont="true" applyBorder="true" applyAlignment="true" applyProtection="false">
      <alignment horizontal="right"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A3A6B"/>
          <bgColor rgb="FF000000"/>
        </patternFill>
      </fill>
    </dxf>
    <dxf>
      <fill>
        <patternFill patternType="solid">
          <fgColor rgb="FFFCE4EC"/>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3A6B"/>
      <rgbColor rgb="FF339966"/>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37.3" hidden="false" customHeight="false" outlineLevel="0" collapsed="false">
      <c r="A1" s="1" t="s">
        <v>0</v>
      </c>
    </row>
    <row r="2" customFormat="false" ht="26.85" hidden="false" customHeight="false" outlineLevel="0" collapsed="false">
      <c r="A2" s="2" t="s">
        <v>1</v>
      </c>
    </row>
    <row r="3" customFormat="false" ht="26.85" hidden="false" customHeight="false" outlineLevel="0" collapsed="false">
      <c r="A3" s="3" t="s">
        <v>2</v>
      </c>
    </row>
    <row r="4" customFormat="false" ht="15" hidden="false" customHeight="false" outlineLevel="0" collapsed="false">
      <c r="A4" s="2"/>
    </row>
    <row r="5" customFormat="false" ht="15" hidden="false" customHeight="false" outlineLevel="0" collapsed="false">
      <c r="A5" s="4" t="s">
        <v>3</v>
      </c>
    </row>
    <row r="6" customFormat="false" ht="26.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4" t="s">
        <v>11</v>
      </c>
    </row>
    <row r="15" customFormat="false" ht="15" hidden="false" customHeight="false" outlineLevel="0" collapsed="false">
      <c r="A15" s="5" t="s">
        <v>12</v>
      </c>
    </row>
    <row r="16" customFormat="false" ht="15" hidden="false" customHeight="false" outlineLevel="0" collapsed="false">
      <c r="A16" s="5" t="s">
        <v>13</v>
      </c>
    </row>
    <row r="17" customFormat="false" ht="26.8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4"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4" t="s">
        <v>17</v>
      </c>
    </row>
    <row r="23" customFormat="false" ht="26.85" hidden="false" customHeight="false" outlineLevel="0" collapsed="false">
      <c r="A23" s="2" t="s">
        <v>18</v>
      </c>
    </row>
    <row r="24" customFormat="false" ht="15" hidden="false" customHeight="false" outlineLevel="0" collapsed="false">
      <c r="A24" s="2" t="s">
        <v>19</v>
      </c>
    </row>
    <row r="25" customFormat="false" ht="26.85" hidden="false" customHeight="false" outlineLevel="0" collapsed="false">
      <c r="A25"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7"/>
    <col collapsed="false" customWidth="true" hidden="false" outlineLevel="0" max="5" min="4" style="0" width="11"/>
    <col collapsed="false" customWidth="true" hidden="false" outlineLevel="0" max="6" min="6" style="0" width="7"/>
    <col collapsed="false" customWidth="true" hidden="false" outlineLevel="0" max="7" min="7" style="0" width="32"/>
    <col collapsed="false" customWidth="true" hidden="false" outlineLevel="0" max="8" min="8" style="0" width="20"/>
    <col collapsed="false" customWidth="true" hidden="false" outlineLevel="0" max="9" min="9" style="0" width="6"/>
    <col collapsed="false" customWidth="true" hidden="false" outlineLevel="0" max="10" min="10" style="0" width="18"/>
    <col collapsed="false" customWidth="true" hidden="false" outlineLevel="0" max="11" min="11" style="0" width="14"/>
    <col collapsed="false" customWidth="true" hidden="false" outlineLevel="0" max="12" min="12" style="0" width="60"/>
    <col collapsed="false" customWidth="true" hidden="false" outlineLevel="0" max="14" min="13" style="0" width="10"/>
    <col collapsed="false" customWidth="true" hidden="false" outlineLevel="0" max="17" min="15" style="0" width="12"/>
    <col collapsed="false" customWidth="true" hidden="false" outlineLevel="0" max="18" min="18" style="0" width="40"/>
    <col collapsed="false" customWidth="true" hidden="false" outlineLevel="0" max="19" min="19" style="0" width="8"/>
    <col collapsed="false" customWidth="true" hidden="false" outlineLevel="0" max="20" min="20" style="0" width="9"/>
    <col collapsed="false" customWidth="true" hidden="false" outlineLevel="0" max="21" min="21" style="0" width="14"/>
    <col collapsed="false" customWidth="true" hidden="false" outlineLevel="0" max="22" min="22" style="0" width="18"/>
    <col collapsed="false" customWidth="true" hidden="false" outlineLevel="0" max="23" min="23" style="0" width="10"/>
    <col collapsed="false" customWidth="true" hidden="false" outlineLevel="0" max="24" min="24" style="0" width="60"/>
    <col collapsed="false" customWidth="true" hidden="false" outlineLevel="0" max="25" min="25" style="0" width="10"/>
    <col collapsed="false" customWidth="true" hidden="false" outlineLevel="0" max="26" min="26" style="0" width="40"/>
  </cols>
  <sheetData>
    <row r="1" customFormat="false" ht="39.55" hidden="false" customHeight="false" outlineLevel="0" collapsed="false">
      <c r="A1" s="6" t="s">
        <v>21</v>
      </c>
      <c r="B1" s="7" t="s">
        <v>22</v>
      </c>
      <c r="C1" s="7" t="s">
        <v>23</v>
      </c>
      <c r="D1" s="7" t="s">
        <v>24</v>
      </c>
      <c r="E1" s="7" t="s">
        <v>25</v>
      </c>
      <c r="F1" s="7" t="s">
        <v>26</v>
      </c>
      <c r="G1" s="7" t="s">
        <v>27</v>
      </c>
      <c r="H1" s="7" t="s">
        <v>28</v>
      </c>
      <c r="I1" s="7" t="s">
        <v>29</v>
      </c>
      <c r="J1" s="7" t="s">
        <v>30</v>
      </c>
      <c r="K1" s="7" t="s">
        <v>31</v>
      </c>
      <c r="L1" s="7" t="s">
        <v>32</v>
      </c>
      <c r="M1" s="7" t="s">
        <v>33</v>
      </c>
      <c r="N1" s="7" t="s">
        <v>34</v>
      </c>
      <c r="O1" s="7" t="s">
        <v>35</v>
      </c>
      <c r="P1" s="7" t="s">
        <v>36</v>
      </c>
      <c r="Q1" s="7" t="s">
        <v>37</v>
      </c>
      <c r="R1" s="7" t="s">
        <v>38</v>
      </c>
      <c r="S1" s="6" t="s">
        <v>39</v>
      </c>
      <c r="T1" s="6" t="s">
        <v>40</v>
      </c>
      <c r="U1" s="7" t="s">
        <v>41</v>
      </c>
      <c r="V1" s="7" t="s">
        <v>42</v>
      </c>
      <c r="W1" s="7" t="s">
        <v>43</v>
      </c>
      <c r="X1" s="7" t="s">
        <v>44</v>
      </c>
      <c r="Y1" s="7" t="s">
        <v>45</v>
      </c>
      <c r="Z1" s="7" t="s">
        <v>46</v>
      </c>
    </row>
    <row r="2" customFormat="false" ht="90" hidden="false" customHeight="true" outlineLevel="0" collapsed="false">
      <c r="A2" s="8" t="n">
        <v>18</v>
      </c>
      <c r="B2" s="8" t="s">
        <v>47</v>
      </c>
      <c r="C2" s="8" t="s">
        <v>48</v>
      </c>
      <c r="D2" s="9" t="n">
        <v>45307</v>
      </c>
      <c r="E2" s="9" t="n">
        <v>45307</v>
      </c>
      <c r="F2" s="8" t="n">
        <v>2024</v>
      </c>
      <c r="G2" s="10" t="s">
        <v>49</v>
      </c>
      <c r="H2" s="10" t="s">
        <v>50</v>
      </c>
      <c r="I2" s="8" t="s">
        <v>51</v>
      </c>
      <c r="J2" s="8" t="s">
        <v>52</v>
      </c>
      <c r="K2" s="8" t="s">
        <v>53</v>
      </c>
      <c r="L2" s="8" t="s">
        <v>54</v>
      </c>
      <c r="M2" s="8" t="s">
        <v>55</v>
      </c>
      <c r="N2" s="8" t="s">
        <v>56</v>
      </c>
      <c r="O2" s="9" t="n">
        <v>45307</v>
      </c>
      <c r="P2" s="9" t="n">
        <v>45307</v>
      </c>
      <c r="Q2" s="9" t="n">
        <v>45307</v>
      </c>
      <c r="R2" s="10"/>
      <c r="S2" s="11" t="str">
        <f aca="false">IF(AND(N2&lt;&gt;"",O2&lt;&gt;""),"○",IF(N2&lt;&gt;"","△","×"))</f>
        <v>○</v>
      </c>
      <c r="T2" s="11" t="str">
        <f aca="false">IF(Q2&lt;&gt;"","○","×")</f>
        <v>○</v>
      </c>
      <c r="U2" s="12" t="str">
        <f aca="true">IF(L2="","対策未記載",IF(Q2&lt;&gt;"","完了",IF(AND(P2&lt;&gt;"",P2&lt;TODAY()),"期限超過",IF(O2="","承認日なし","対応中"))))</f>
        <v>完了</v>
      </c>
      <c r="V2" s="10" t="s">
        <v>57</v>
      </c>
      <c r="W2" s="8" t="s">
        <v>58</v>
      </c>
      <c r="X2" s="10" t="s">
        <v>59</v>
      </c>
      <c r="Y2" s="13"/>
      <c r="Z2" s="13"/>
    </row>
    <row r="3" customFormat="false" ht="90" hidden="false" customHeight="true" outlineLevel="0" collapsed="false">
      <c r="A3" s="10" t="n">
        <v>19</v>
      </c>
      <c r="B3" s="8" t="s">
        <v>60</v>
      </c>
      <c r="C3" s="8" t="s">
        <v>48</v>
      </c>
      <c r="D3" s="9" t="n">
        <v>45436</v>
      </c>
      <c r="E3" s="9" t="n">
        <v>45436</v>
      </c>
      <c r="F3" s="10" t="n">
        <v>2024</v>
      </c>
      <c r="G3" s="10" t="s">
        <v>61</v>
      </c>
      <c r="H3" s="10" t="s">
        <v>62</v>
      </c>
      <c r="I3" s="8" t="s">
        <v>51</v>
      </c>
      <c r="J3" s="10" t="s">
        <v>63</v>
      </c>
      <c r="K3" s="10" t="s">
        <v>63</v>
      </c>
      <c r="L3" s="10" t="s">
        <v>64</v>
      </c>
      <c r="M3" s="8" t="s">
        <v>55</v>
      </c>
      <c r="N3" s="8" t="s">
        <v>56</v>
      </c>
      <c r="O3" s="9" t="n">
        <v>45439</v>
      </c>
      <c r="P3" s="9" t="n">
        <v>45439</v>
      </c>
      <c r="Q3" s="9" t="n">
        <v>45439</v>
      </c>
      <c r="R3" s="10"/>
      <c r="S3" s="11" t="str">
        <f aca="false">IF(AND(N3&lt;&gt;"",O3&lt;&gt;""),"○",IF(N3&lt;&gt;"","△","×"))</f>
        <v>○</v>
      </c>
      <c r="T3" s="11" t="str">
        <f aca="false">IF(Q3&lt;&gt;"","○","×")</f>
        <v>○</v>
      </c>
      <c r="U3" s="12" t="str">
        <f aca="true">IF(L3="","対策未記載",IF(Q3&lt;&gt;"","完了",IF(AND(P3&lt;&gt;"",P3&lt;TODAY()),"期限超過",IF(O3="","承認日なし","対応中"))))</f>
        <v>完了</v>
      </c>
      <c r="V3" s="10" t="s">
        <v>65</v>
      </c>
      <c r="W3" s="14" t="s">
        <v>66</v>
      </c>
      <c r="X3" s="8" t="s">
        <v>67</v>
      </c>
      <c r="Y3" s="13"/>
      <c r="Z3" s="13"/>
    </row>
    <row r="4" customFormat="false" ht="90" hidden="false" customHeight="true" outlineLevel="0" collapsed="false">
      <c r="A4" s="10" t="n">
        <v>1</v>
      </c>
      <c r="B4" s="8" t="s">
        <v>68</v>
      </c>
      <c r="C4" s="8" t="s">
        <v>69</v>
      </c>
      <c r="D4" s="9" t="n">
        <v>45548</v>
      </c>
      <c r="E4" s="9" t="n">
        <v>45548</v>
      </c>
      <c r="F4" s="10" t="n">
        <v>2024</v>
      </c>
      <c r="G4" s="10" t="s">
        <v>70</v>
      </c>
      <c r="H4" s="10" t="s">
        <v>50</v>
      </c>
      <c r="I4" s="8" t="s">
        <v>51</v>
      </c>
      <c r="J4" s="8" t="s">
        <v>71</v>
      </c>
      <c r="K4" s="8" t="s">
        <v>72</v>
      </c>
      <c r="L4" s="8" t="s">
        <v>73</v>
      </c>
      <c r="M4" s="8" t="s">
        <v>55</v>
      </c>
      <c r="N4" s="8" t="s">
        <v>74</v>
      </c>
      <c r="O4" s="9" t="n">
        <v>45548</v>
      </c>
      <c r="P4" s="9" t="n">
        <v>45548</v>
      </c>
      <c r="Q4" s="9" t="n">
        <v>45548</v>
      </c>
      <c r="R4" s="10"/>
      <c r="S4" s="11" t="str">
        <f aca="false">IF(AND(N4&lt;&gt;"",O4&lt;&gt;""),"○",IF(N4&lt;&gt;"","△","×"))</f>
        <v>○</v>
      </c>
      <c r="T4" s="11" t="str">
        <f aca="false">IF(Q4&lt;&gt;"","○","×")</f>
        <v>○</v>
      </c>
      <c r="U4" s="12" t="str">
        <f aca="true">IF(L4="","対策未記載",IF(Q4&lt;&gt;"","完了",IF(AND(P4&lt;&gt;"",P4&lt;TODAY()),"期限超過",IF(O4="","承認日なし","対応中"))))</f>
        <v>完了</v>
      </c>
      <c r="V4" s="10" t="s">
        <v>57</v>
      </c>
      <c r="W4" s="8" t="s">
        <v>58</v>
      </c>
      <c r="X4" s="10" t="s">
        <v>75</v>
      </c>
      <c r="Y4" s="13"/>
      <c r="Z4" s="13"/>
    </row>
    <row r="5" customFormat="false" ht="90" hidden="false" customHeight="true" outlineLevel="0" collapsed="false">
      <c r="A5" s="10" t="n">
        <v>2</v>
      </c>
      <c r="B5" s="8" t="s">
        <v>76</v>
      </c>
      <c r="C5" s="8" t="s">
        <v>69</v>
      </c>
      <c r="D5" s="10" t="s">
        <v>77</v>
      </c>
      <c r="E5" s="9" t="n">
        <v>45608</v>
      </c>
      <c r="F5" s="10" t="n">
        <v>2024</v>
      </c>
      <c r="G5" s="10" t="s">
        <v>78</v>
      </c>
      <c r="H5" s="10" t="s">
        <v>62</v>
      </c>
      <c r="I5" s="8" t="s">
        <v>51</v>
      </c>
      <c r="J5" s="8" t="s">
        <v>52</v>
      </c>
      <c r="K5" s="10" t="s">
        <v>79</v>
      </c>
      <c r="L5" s="10" t="s">
        <v>80</v>
      </c>
      <c r="M5" s="8" t="s">
        <v>81</v>
      </c>
      <c r="N5" s="10"/>
      <c r="O5" s="10"/>
      <c r="P5" s="10"/>
      <c r="Q5" s="10"/>
      <c r="R5" s="10"/>
      <c r="S5" s="11" t="str">
        <f aca="false">IF(AND(N5&lt;&gt;"",O5&lt;&gt;""),"○",IF(N5&lt;&gt;"","△","×"))</f>
        <v>×</v>
      </c>
      <c r="T5" s="11" t="str">
        <f aca="false">IF(Q5&lt;&gt;"","○","×")</f>
        <v>×</v>
      </c>
      <c r="U5" s="12" t="str">
        <f aca="true">IF(L5="","対策未記載",IF(Q5&lt;&gt;"","完了",IF(AND(P5&lt;&gt;"",P5&lt;TODAY()),"期限超過",IF(O5="","承認日なし","対応中"))))</f>
        <v>承認日なし</v>
      </c>
      <c r="V5" s="10" t="s">
        <v>82</v>
      </c>
      <c r="W5" s="8" t="s">
        <v>58</v>
      </c>
      <c r="X5" s="10" t="s">
        <v>83</v>
      </c>
      <c r="Y5" s="13"/>
      <c r="Z5" s="13"/>
    </row>
    <row r="6" customFormat="false" ht="90" hidden="false" customHeight="true" outlineLevel="0" collapsed="false">
      <c r="A6" s="10" t="n">
        <v>3</v>
      </c>
      <c r="B6" s="8" t="s">
        <v>84</v>
      </c>
      <c r="C6" s="8" t="s">
        <v>69</v>
      </c>
      <c r="D6" s="9" t="n">
        <v>45617</v>
      </c>
      <c r="E6" s="9" t="n">
        <v>45617</v>
      </c>
      <c r="F6" s="10" t="n">
        <v>2024</v>
      </c>
      <c r="G6" s="10" t="s">
        <v>85</v>
      </c>
      <c r="H6" s="10" t="s">
        <v>50</v>
      </c>
      <c r="I6" s="8" t="s">
        <v>86</v>
      </c>
      <c r="J6" s="10" t="s">
        <v>87</v>
      </c>
      <c r="K6" s="10" t="s">
        <v>87</v>
      </c>
      <c r="L6" s="10"/>
      <c r="M6" s="8" t="s">
        <v>81</v>
      </c>
      <c r="N6" s="10"/>
      <c r="O6" s="10"/>
      <c r="P6" s="10"/>
      <c r="Q6" s="10"/>
      <c r="R6" s="10"/>
      <c r="S6" s="11" t="str">
        <f aca="false">IF(AND(N6&lt;&gt;"",O6&lt;&gt;""),"○",IF(N6&lt;&gt;"","△","×"))</f>
        <v>×</v>
      </c>
      <c r="T6" s="11" t="str">
        <f aca="false">IF(Q6&lt;&gt;"","○","×")</f>
        <v>×</v>
      </c>
      <c r="U6" s="12" t="str">
        <f aca="true">IF(L6="","対策未記載",IF(Q6&lt;&gt;"","完了",IF(AND(P6&lt;&gt;"",P6&lt;TODAY()),"期限超過",IF(O6="","承認日なし","対応中"))))</f>
        <v>対策未記載</v>
      </c>
      <c r="V6" s="10" t="s">
        <v>88</v>
      </c>
      <c r="W6" s="10" t="s">
        <v>89</v>
      </c>
      <c r="X6" s="10" t="s">
        <v>90</v>
      </c>
      <c r="Y6" s="13"/>
      <c r="Z6" s="13"/>
    </row>
    <row r="7" customFormat="false" ht="90" hidden="false" customHeight="true" outlineLevel="0" collapsed="false">
      <c r="A7" s="10" t="n">
        <v>4</v>
      </c>
      <c r="B7" s="8" t="s">
        <v>91</v>
      </c>
      <c r="C7" s="8" t="s">
        <v>69</v>
      </c>
      <c r="D7" s="9" t="n">
        <v>45650</v>
      </c>
      <c r="E7" s="9" t="n">
        <v>45650</v>
      </c>
      <c r="F7" s="10" t="n">
        <v>2024</v>
      </c>
      <c r="G7" s="10" t="s">
        <v>92</v>
      </c>
      <c r="H7" s="10" t="s">
        <v>50</v>
      </c>
      <c r="I7" s="8" t="s">
        <v>51</v>
      </c>
      <c r="J7" s="8" t="s">
        <v>52</v>
      </c>
      <c r="K7" s="10" t="s">
        <v>87</v>
      </c>
      <c r="L7" s="10" t="s">
        <v>93</v>
      </c>
      <c r="M7" s="8" t="s">
        <v>81</v>
      </c>
      <c r="N7" s="10"/>
      <c r="O7" s="10"/>
      <c r="P7" s="10"/>
      <c r="Q7" s="10"/>
      <c r="R7" s="10"/>
      <c r="S7" s="11" t="str">
        <f aca="false">IF(AND(N7&lt;&gt;"",O7&lt;&gt;""),"○",IF(N7&lt;&gt;"","△","×"))</f>
        <v>×</v>
      </c>
      <c r="T7" s="11" t="str">
        <f aca="false">IF(Q7&lt;&gt;"","○","×")</f>
        <v>×</v>
      </c>
      <c r="U7" s="12" t="str">
        <f aca="true">IF(L7="","対策未記載",IF(Q7&lt;&gt;"","完了",IF(AND(P7&lt;&gt;"",P7&lt;TODAY()),"期限超過",IF(O7="","承認日なし","対応中"))))</f>
        <v>承認日なし</v>
      </c>
      <c r="V7" s="10" t="s">
        <v>94</v>
      </c>
      <c r="W7" s="8" t="s">
        <v>58</v>
      </c>
      <c r="X7" s="10" t="s">
        <v>95</v>
      </c>
      <c r="Y7" s="13"/>
      <c r="Z7" s="13"/>
    </row>
    <row r="8" customFormat="false" ht="90" hidden="false" customHeight="true" outlineLevel="0" collapsed="false">
      <c r="A8" s="10" t="n">
        <v>5</v>
      </c>
      <c r="B8" s="8" t="s">
        <v>96</v>
      </c>
      <c r="C8" s="8" t="s">
        <v>69</v>
      </c>
      <c r="D8" s="9" t="n">
        <v>45713</v>
      </c>
      <c r="E8" s="9" t="n">
        <v>45714</v>
      </c>
      <c r="F8" s="10" t="n">
        <v>2025</v>
      </c>
      <c r="G8" s="10" t="s">
        <v>97</v>
      </c>
      <c r="H8" s="10" t="s">
        <v>62</v>
      </c>
      <c r="I8" s="8" t="s">
        <v>51</v>
      </c>
      <c r="J8" s="8" t="s">
        <v>98</v>
      </c>
      <c r="K8" s="10" t="s">
        <v>99</v>
      </c>
      <c r="L8" s="10" t="s">
        <v>100</v>
      </c>
      <c r="M8" s="8" t="s">
        <v>55</v>
      </c>
      <c r="N8" s="8" t="s">
        <v>55</v>
      </c>
      <c r="O8" s="9" t="n">
        <v>45715</v>
      </c>
      <c r="P8" s="9" t="n">
        <v>45715</v>
      </c>
      <c r="Q8" s="9" t="n">
        <v>45715</v>
      </c>
      <c r="R8" s="10"/>
      <c r="S8" s="11" t="str">
        <f aca="false">IF(AND(N8&lt;&gt;"",O8&lt;&gt;""),"○",IF(N8&lt;&gt;"","△","×"))</f>
        <v>○</v>
      </c>
      <c r="T8" s="11" t="str">
        <f aca="false">IF(Q8&lt;&gt;"","○","×")</f>
        <v>○</v>
      </c>
      <c r="U8" s="12" t="str">
        <f aca="true">IF(L8="","対策未記載",IF(Q8&lt;&gt;"","完了",IF(AND(P8&lt;&gt;"",P8&lt;TODAY()),"期限超過",IF(O8="","承認日なし","対応中"))))</f>
        <v>完了</v>
      </c>
      <c r="V8" s="10" t="s">
        <v>57</v>
      </c>
      <c r="W8" s="8" t="s">
        <v>58</v>
      </c>
      <c r="X8" s="10" t="s">
        <v>101</v>
      </c>
      <c r="Y8" s="13"/>
      <c r="Z8" s="13"/>
    </row>
    <row r="9" customFormat="false" ht="90" hidden="false" customHeight="true" outlineLevel="0" collapsed="false">
      <c r="A9" s="10" t="n">
        <v>6</v>
      </c>
      <c r="B9" s="8" t="s">
        <v>102</v>
      </c>
      <c r="C9" s="8" t="s">
        <v>69</v>
      </c>
      <c r="D9" s="9" t="n">
        <v>45713</v>
      </c>
      <c r="E9" s="9" t="n">
        <v>45714</v>
      </c>
      <c r="F9" s="10" t="n">
        <v>2025</v>
      </c>
      <c r="G9" s="10" t="s">
        <v>103</v>
      </c>
      <c r="H9" s="10" t="s">
        <v>50</v>
      </c>
      <c r="I9" s="8" t="s">
        <v>86</v>
      </c>
      <c r="J9" s="8" t="s">
        <v>104</v>
      </c>
      <c r="K9" s="10" t="s">
        <v>105</v>
      </c>
      <c r="L9" s="10" t="s">
        <v>106</v>
      </c>
      <c r="M9" s="8" t="s">
        <v>55</v>
      </c>
      <c r="N9" s="8" t="s">
        <v>55</v>
      </c>
      <c r="O9" s="9" t="n">
        <v>45715</v>
      </c>
      <c r="P9" s="9" t="n">
        <v>45715</v>
      </c>
      <c r="Q9" s="9" t="n">
        <v>45715</v>
      </c>
      <c r="R9" s="10"/>
      <c r="S9" s="11" t="str">
        <f aca="false">IF(AND(N9&lt;&gt;"",O9&lt;&gt;""),"○",IF(N9&lt;&gt;"","△","×"))</f>
        <v>○</v>
      </c>
      <c r="T9" s="11" t="str">
        <f aca="false">IF(Q9&lt;&gt;"","○","×")</f>
        <v>○</v>
      </c>
      <c r="U9" s="12" t="str">
        <f aca="true">IF(L9="","対策未記載",IF(Q9&lt;&gt;"","完了",IF(AND(P9&lt;&gt;"",P9&lt;TODAY()),"期限超過",IF(O9="","承認日なし","対応中"))))</f>
        <v>完了</v>
      </c>
      <c r="V9" s="10" t="s">
        <v>57</v>
      </c>
      <c r="W9" s="10" t="s">
        <v>89</v>
      </c>
      <c r="X9" s="10" t="s">
        <v>107</v>
      </c>
      <c r="Y9" s="13"/>
      <c r="Z9" s="13"/>
    </row>
    <row r="10" customFormat="false" ht="90" hidden="false" customHeight="true" outlineLevel="0" collapsed="false">
      <c r="A10" s="10" t="n">
        <v>7</v>
      </c>
      <c r="B10" s="8" t="s">
        <v>108</v>
      </c>
      <c r="C10" s="8" t="s">
        <v>69</v>
      </c>
      <c r="D10" s="9" t="n">
        <v>45741</v>
      </c>
      <c r="E10" s="9" t="n">
        <v>45741</v>
      </c>
      <c r="F10" s="10" t="n">
        <v>2025</v>
      </c>
      <c r="G10" s="10" t="s">
        <v>109</v>
      </c>
      <c r="H10" s="10" t="s">
        <v>62</v>
      </c>
      <c r="I10" s="8" t="s">
        <v>51</v>
      </c>
      <c r="J10" s="8" t="s">
        <v>110</v>
      </c>
      <c r="K10" s="8" t="s">
        <v>111</v>
      </c>
      <c r="L10" s="10" t="s">
        <v>112</v>
      </c>
      <c r="M10" s="8" t="s">
        <v>55</v>
      </c>
      <c r="N10" s="8" t="s">
        <v>55</v>
      </c>
      <c r="O10" s="9" t="n">
        <v>45741</v>
      </c>
      <c r="P10" s="9" t="n">
        <v>45741</v>
      </c>
      <c r="Q10" s="10"/>
      <c r="R10" s="10"/>
      <c r="S10" s="11" t="str">
        <f aca="false">IF(AND(N10&lt;&gt;"",O10&lt;&gt;""),"○",IF(N10&lt;&gt;"","△","×"))</f>
        <v>○</v>
      </c>
      <c r="T10" s="11" t="str">
        <f aca="false">IF(Q10&lt;&gt;"","○","×")</f>
        <v>×</v>
      </c>
      <c r="U10" s="12" t="str">
        <f aca="true">IF(L10="","対策未記載",IF(Q10&lt;&gt;"","完了",IF(AND(P10&lt;&gt;"",P10&lt;TODAY()),"期限超過",IF(O10="","承認日なし","対応中"))))</f>
        <v>期限超過</v>
      </c>
      <c r="V10" s="10" t="s">
        <v>113</v>
      </c>
      <c r="W10" s="14" t="s">
        <v>114</v>
      </c>
      <c r="X10" s="10" t="s">
        <v>115</v>
      </c>
      <c r="Y10" s="13"/>
      <c r="Z10" s="13"/>
    </row>
    <row r="11" customFormat="false" ht="90" hidden="false" customHeight="true" outlineLevel="0" collapsed="false">
      <c r="A11" s="10" t="n">
        <v>8</v>
      </c>
      <c r="B11" s="8" t="s">
        <v>116</v>
      </c>
      <c r="C11" s="8" t="s">
        <v>69</v>
      </c>
      <c r="D11" s="9" t="n">
        <v>45810</v>
      </c>
      <c r="E11" s="9" t="n">
        <v>45810</v>
      </c>
      <c r="F11" s="10" t="n">
        <v>2025</v>
      </c>
      <c r="G11" s="10" t="s">
        <v>117</v>
      </c>
      <c r="H11" s="10" t="s">
        <v>50</v>
      </c>
      <c r="I11" s="8" t="s">
        <v>51</v>
      </c>
      <c r="J11" s="8" t="s">
        <v>118</v>
      </c>
      <c r="K11" s="8" t="s">
        <v>119</v>
      </c>
      <c r="L11" s="10" t="s">
        <v>120</v>
      </c>
      <c r="M11" s="8" t="s">
        <v>55</v>
      </c>
      <c r="N11" s="8" t="s">
        <v>55</v>
      </c>
      <c r="O11" s="9" t="n">
        <v>45810</v>
      </c>
      <c r="P11" s="9" t="n">
        <v>45810</v>
      </c>
      <c r="Q11" s="10"/>
      <c r="R11" s="10"/>
      <c r="S11" s="11" t="str">
        <f aca="false">IF(AND(N11&lt;&gt;"",O11&lt;&gt;""),"○",IF(N11&lt;&gt;"","△","×"))</f>
        <v>○</v>
      </c>
      <c r="T11" s="11" t="str">
        <f aca="false">IF(Q11&lt;&gt;"","○","×")</f>
        <v>×</v>
      </c>
      <c r="U11" s="12" t="str">
        <f aca="true">IF(L11="","対策未記載",IF(Q11&lt;&gt;"","完了",IF(AND(P11&lt;&gt;"",P11&lt;TODAY()),"期限超過",IF(O11="","承認日なし","対応中"))))</f>
        <v>期限超過</v>
      </c>
      <c r="V11" s="10" t="s">
        <v>57</v>
      </c>
      <c r="W11" s="8" t="s">
        <v>58</v>
      </c>
      <c r="X11" s="10" t="s">
        <v>121</v>
      </c>
      <c r="Y11" s="13"/>
      <c r="Z11" s="13"/>
    </row>
    <row r="12" customFormat="false" ht="90" hidden="false" customHeight="true" outlineLevel="0" collapsed="false">
      <c r="A12" s="10" t="n">
        <v>9</v>
      </c>
      <c r="B12" s="8" t="s">
        <v>122</v>
      </c>
      <c r="C12" s="8" t="s">
        <v>69</v>
      </c>
      <c r="D12" s="9" t="n">
        <v>45876</v>
      </c>
      <c r="E12" s="9" t="n">
        <v>45876</v>
      </c>
      <c r="F12" s="10" t="n">
        <v>2025</v>
      </c>
      <c r="G12" s="10" t="s">
        <v>117</v>
      </c>
      <c r="H12" s="10" t="s">
        <v>62</v>
      </c>
      <c r="I12" s="8" t="s">
        <v>123</v>
      </c>
      <c r="J12" s="8" t="s">
        <v>118</v>
      </c>
      <c r="K12" s="10" t="s">
        <v>124</v>
      </c>
      <c r="L12" s="10" t="s">
        <v>125</v>
      </c>
      <c r="M12" s="8" t="s">
        <v>55</v>
      </c>
      <c r="N12" s="8" t="s">
        <v>55</v>
      </c>
      <c r="O12" s="9" t="n">
        <v>45879</v>
      </c>
      <c r="P12" s="9" t="n">
        <v>45810</v>
      </c>
      <c r="Q12" s="10"/>
      <c r="R12" s="10"/>
      <c r="S12" s="11" t="str">
        <f aca="false">IF(AND(N12&lt;&gt;"",O12&lt;&gt;""),"○",IF(N12&lt;&gt;"","△","×"))</f>
        <v>○</v>
      </c>
      <c r="T12" s="11" t="str">
        <f aca="false">IF(Q12&lt;&gt;"","○","×")</f>
        <v>×</v>
      </c>
      <c r="U12" s="12" t="str">
        <f aca="true">IF(L12="","対策未記載",IF(Q12&lt;&gt;"","完了",IF(AND(P12&lt;&gt;"",P12&lt;TODAY()),"期限超過",IF(O12="","承認日なし","対応中"))))</f>
        <v>期限超過</v>
      </c>
      <c r="V12" s="10" t="s">
        <v>57</v>
      </c>
      <c r="W12" s="10" t="s">
        <v>89</v>
      </c>
      <c r="X12" s="10" t="s">
        <v>126</v>
      </c>
      <c r="Y12" s="13"/>
      <c r="Z12" s="13"/>
    </row>
    <row r="13" customFormat="false" ht="90" hidden="false" customHeight="true" outlineLevel="0" collapsed="false">
      <c r="A13" s="10" t="n">
        <v>10</v>
      </c>
      <c r="B13" s="8" t="s">
        <v>127</v>
      </c>
      <c r="C13" s="8" t="s">
        <v>69</v>
      </c>
      <c r="D13" s="9" t="n">
        <v>45852</v>
      </c>
      <c r="E13" s="9" t="n">
        <v>45882</v>
      </c>
      <c r="F13" s="10" t="n">
        <v>2025</v>
      </c>
      <c r="G13" s="10" t="s">
        <v>128</v>
      </c>
      <c r="H13" s="10" t="s">
        <v>62</v>
      </c>
      <c r="I13" s="8" t="s">
        <v>51</v>
      </c>
      <c r="J13" s="8" t="s">
        <v>118</v>
      </c>
      <c r="K13" s="10" t="s">
        <v>87</v>
      </c>
      <c r="L13" s="10" t="s">
        <v>129</v>
      </c>
      <c r="M13" s="8" t="s">
        <v>55</v>
      </c>
      <c r="N13" s="8" t="s">
        <v>55</v>
      </c>
      <c r="O13" s="9" t="n">
        <v>45883</v>
      </c>
      <c r="P13" s="9" t="n">
        <v>45883</v>
      </c>
      <c r="Q13" s="10"/>
      <c r="R13" s="10"/>
      <c r="S13" s="11" t="str">
        <f aca="false">IF(AND(N13&lt;&gt;"",O13&lt;&gt;""),"○",IF(N13&lt;&gt;"","△","×"))</f>
        <v>○</v>
      </c>
      <c r="T13" s="11" t="str">
        <f aca="false">IF(Q13&lt;&gt;"","○","×")</f>
        <v>×</v>
      </c>
      <c r="U13" s="12" t="str">
        <f aca="true">IF(L13="","対策未記載",IF(Q13&lt;&gt;"","完了",IF(AND(P13&lt;&gt;"",P13&lt;TODAY()),"期限超過",IF(O13="","承認日なし","対応中"))))</f>
        <v>期限超過</v>
      </c>
      <c r="V13" s="10" t="s">
        <v>130</v>
      </c>
      <c r="W13" s="14" t="s">
        <v>131</v>
      </c>
      <c r="X13" s="10" t="s">
        <v>132</v>
      </c>
      <c r="Y13" s="13"/>
      <c r="Z13" s="13"/>
    </row>
    <row r="14" customFormat="false" ht="90" hidden="false" customHeight="true" outlineLevel="0" collapsed="false">
      <c r="A14" s="10" t="n">
        <v>11</v>
      </c>
      <c r="B14" s="8" t="s">
        <v>133</v>
      </c>
      <c r="C14" s="8" t="s">
        <v>69</v>
      </c>
      <c r="D14" s="9" t="n">
        <v>45870</v>
      </c>
      <c r="E14" s="9" t="n">
        <v>45883</v>
      </c>
      <c r="F14" s="10" t="n">
        <v>2025</v>
      </c>
      <c r="G14" s="10" t="s">
        <v>134</v>
      </c>
      <c r="H14" s="10" t="s">
        <v>62</v>
      </c>
      <c r="I14" s="8" t="s">
        <v>51</v>
      </c>
      <c r="J14" s="8" t="s">
        <v>118</v>
      </c>
      <c r="K14" s="10" t="s">
        <v>87</v>
      </c>
      <c r="L14" s="10" t="s">
        <v>135</v>
      </c>
      <c r="M14" s="8" t="s">
        <v>55</v>
      </c>
      <c r="N14" s="8" t="s">
        <v>55</v>
      </c>
      <c r="O14" s="9" t="n">
        <v>45889</v>
      </c>
      <c r="P14" s="9" t="n">
        <v>45889</v>
      </c>
      <c r="Q14" s="10"/>
      <c r="R14" s="10"/>
      <c r="S14" s="11" t="str">
        <f aca="false">IF(AND(N14&lt;&gt;"",O14&lt;&gt;""),"○",IF(N14&lt;&gt;"","△","×"))</f>
        <v>○</v>
      </c>
      <c r="T14" s="11" t="str">
        <f aca="false">IF(Q14&lt;&gt;"","○","×")</f>
        <v>×</v>
      </c>
      <c r="U14" s="12" t="str">
        <f aca="true">IF(L14="","対策未記載",IF(Q14&lt;&gt;"","完了",IF(AND(P14&lt;&gt;"",P14&lt;TODAY()),"期限超過",IF(O14="","承認日なし","対応中"))))</f>
        <v>期限超過</v>
      </c>
      <c r="V14" s="10" t="s">
        <v>136</v>
      </c>
      <c r="W14" s="14" t="s">
        <v>137</v>
      </c>
      <c r="X14" s="10" t="s">
        <v>138</v>
      </c>
      <c r="Y14" s="13"/>
      <c r="Z14" s="13"/>
    </row>
    <row r="15" customFormat="false" ht="90" hidden="false" customHeight="true" outlineLevel="0" collapsed="false">
      <c r="A15" s="10" t="n">
        <v>12</v>
      </c>
      <c r="B15" s="8" t="s">
        <v>139</v>
      </c>
      <c r="C15" s="8" t="s">
        <v>69</v>
      </c>
      <c r="D15" s="9" t="n">
        <v>45754</v>
      </c>
      <c r="E15" s="9" t="n">
        <v>45905</v>
      </c>
      <c r="F15" s="10" t="n">
        <v>2025</v>
      </c>
      <c r="G15" s="10" t="s">
        <v>140</v>
      </c>
      <c r="H15" s="10" t="s">
        <v>50</v>
      </c>
      <c r="I15" s="8" t="s">
        <v>86</v>
      </c>
      <c r="J15" s="8" t="s">
        <v>118</v>
      </c>
      <c r="K15" s="10" t="s">
        <v>141</v>
      </c>
      <c r="L15" s="10"/>
      <c r="M15" s="8" t="s">
        <v>55</v>
      </c>
      <c r="N15" s="10"/>
      <c r="O15" s="10"/>
      <c r="P15" s="10"/>
      <c r="Q15" s="10"/>
      <c r="R15" s="10"/>
      <c r="S15" s="11" t="str">
        <f aca="false">IF(AND(N15&lt;&gt;"",O15&lt;&gt;""),"○",IF(N15&lt;&gt;"","△","×"))</f>
        <v>×</v>
      </c>
      <c r="T15" s="11" t="str">
        <f aca="false">IF(Q15&lt;&gt;"","○","×")</f>
        <v>×</v>
      </c>
      <c r="U15" s="12" t="str">
        <f aca="true">IF(L15="","対策未記載",IF(Q15&lt;&gt;"","完了",IF(AND(P15&lt;&gt;"",P15&lt;TODAY()),"期限超過",IF(O15="","承認日なし","対応中"))))</f>
        <v>対策未記載</v>
      </c>
      <c r="V15" s="10" t="s">
        <v>130</v>
      </c>
      <c r="W15" s="14" t="s">
        <v>131</v>
      </c>
      <c r="X15" s="10" t="s">
        <v>142</v>
      </c>
      <c r="Y15" s="13"/>
      <c r="Z15" s="13"/>
    </row>
    <row r="16" customFormat="false" ht="90" hidden="false" customHeight="true" outlineLevel="0" collapsed="false">
      <c r="A16" s="10" t="n">
        <v>13</v>
      </c>
      <c r="B16" s="8" t="s">
        <v>143</v>
      </c>
      <c r="C16" s="8" t="s">
        <v>69</v>
      </c>
      <c r="D16" s="9" t="n">
        <v>45912</v>
      </c>
      <c r="E16" s="9" t="n">
        <v>45916</v>
      </c>
      <c r="F16" s="10" t="n">
        <v>2025</v>
      </c>
      <c r="G16" s="10" t="s">
        <v>144</v>
      </c>
      <c r="H16" s="10" t="s">
        <v>50</v>
      </c>
      <c r="I16" s="8" t="s">
        <v>51</v>
      </c>
      <c r="J16" s="10" t="s">
        <v>145</v>
      </c>
      <c r="K16" s="8" t="s">
        <v>146</v>
      </c>
      <c r="L16" s="10" t="s">
        <v>147</v>
      </c>
      <c r="M16" s="10"/>
      <c r="N16" s="10"/>
      <c r="O16" s="10"/>
      <c r="P16" s="10"/>
      <c r="Q16" s="10"/>
      <c r="R16" s="10"/>
      <c r="S16" s="11" t="str">
        <f aca="false">IF(AND(N16&lt;&gt;"",O16&lt;&gt;""),"○",IF(N16&lt;&gt;"","△","×"))</f>
        <v>×</v>
      </c>
      <c r="T16" s="11" t="str">
        <f aca="false">IF(Q16&lt;&gt;"","○","×")</f>
        <v>×</v>
      </c>
      <c r="U16" s="12" t="str">
        <f aca="true">IF(L16="","対策未記載",IF(Q16&lt;&gt;"","完了",IF(AND(P16&lt;&gt;"",P16&lt;TODAY()),"期限超過",IF(O16="","承認日なし","対応中"))))</f>
        <v>承認日なし</v>
      </c>
      <c r="V16" s="10" t="s">
        <v>57</v>
      </c>
      <c r="W16" s="8" t="s">
        <v>58</v>
      </c>
      <c r="X16" s="10" t="s">
        <v>148</v>
      </c>
      <c r="Y16" s="13"/>
      <c r="Z16" s="13"/>
    </row>
    <row r="17" customFormat="false" ht="90" hidden="false" customHeight="true" outlineLevel="0" collapsed="false">
      <c r="A17" s="10" t="n">
        <v>14</v>
      </c>
      <c r="B17" s="8" t="s">
        <v>149</v>
      </c>
      <c r="C17" s="8" t="s">
        <v>69</v>
      </c>
      <c r="D17" s="10" t="s">
        <v>150</v>
      </c>
      <c r="E17" s="9" t="n">
        <v>45957</v>
      </c>
      <c r="F17" s="10" t="n">
        <v>2025</v>
      </c>
      <c r="G17" s="10" t="s">
        <v>151</v>
      </c>
      <c r="H17" s="10" t="s">
        <v>62</v>
      </c>
      <c r="I17" s="8" t="s">
        <v>51</v>
      </c>
      <c r="J17" s="10" t="s">
        <v>152</v>
      </c>
      <c r="K17" s="8" t="s">
        <v>153</v>
      </c>
      <c r="L17" s="10" t="s">
        <v>154</v>
      </c>
      <c r="M17" s="8" t="s">
        <v>81</v>
      </c>
      <c r="N17" s="8" t="s">
        <v>55</v>
      </c>
      <c r="O17" s="10"/>
      <c r="P17" s="10"/>
      <c r="Q17" s="10"/>
      <c r="R17" s="10"/>
      <c r="S17" s="11" t="str">
        <f aca="false">IF(AND(N17&lt;&gt;"",O17&lt;&gt;""),"○",IF(N17&lt;&gt;"","△","×"))</f>
        <v>△</v>
      </c>
      <c r="T17" s="11" t="str">
        <f aca="false">IF(Q17&lt;&gt;"","○","×")</f>
        <v>×</v>
      </c>
      <c r="U17" s="12" t="str">
        <f aca="true">IF(L17="","対策未記載",IF(Q17&lt;&gt;"","完了",IF(AND(P17&lt;&gt;"",P17&lt;TODAY()),"期限超過",IF(O17="","承認日なし","対応中"))))</f>
        <v>承認日なし</v>
      </c>
      <c r="V17" s="10" t="s">
        <v>155</v>
      </c>
      <c r="W17" s="14" t="s">
        <v>156</v>
      </c>
      <c r="X17" s="10" t="s">
        <v>157</v>
      </c>
      <c r="Y17" s="13"/>
      <c r="Z17" s="13"/>
    </row>
    <row r="18" customFormat="false" ht="90" hidden="false" customHeight="true" outlineLevel="0" collapsed="false">
      <c r="A18" s="10" t="n">
        <v>15</v>
      </c>
      <c r="B18" s="8" t="s">
        <v>158</v>
      </c>
      <c r="C18" s="8" t="s">
        <v>69</v>
      </c>
      <c r="D18" s="9" t="n">
        <v>45975</v>
      </c>
      <c r="E18" s="9" t="n">
        <v>45978</v>
      </c>
      <c r="F18" s="10" t="n">
        <v>2025</v>
      </c>
      <c r="G18" s="10" t="s">
        <v>159</v>
      </c>
      <c r="H18" s="10" t="s">
        <v>50</v>
      </c>
      <c r="I18" s="8" t="s">
        <v>51</v>
      </c>
      <c r="J18" s="8" t="s">
        <v>52</v>
      </c>
      <c r="K18" s="8" t="s">
        <v>160</v>
      </c>
      <c r="L18" s="10" t="s">
        <v>161</v>
      </c>
      <c r="M18" s="8" t="s">
        <v>162</v>
      </c>
      <c r="N18" s="10"/>
      <c r="O18" s="10"/>
      <c r="P18" s="10"/>
      <c r="Q18" s="10"/>
      <c r="R18" s="10"/>
      <c r="S18" s="11" t="str">
        <f aca="false">IF(AND(N18&lt;&gt;"",O18&lt;&gt;""),"○",IF(N18&lt;&gt;"","△","×"))</f>
        <v>×</v>
      </c>
      <c r="T18" s="11" t="str">
        <f aca="false">IF(Q18&lt;&gt;"","○","×")</f>
        <v>×</v>
      </c>
      <c r="U18" s="12" t="str">
        <f aca="true">IF(L18="","対策未記載",IF(Q18&lt;&gt;"","完了",IF(AND(P18&lt;&gt;"",P18&lt;TODAY()),"期限超過",IF(O18="","承認日なし","対応中"))))</f>
        <v>承認日なし</v>
      </c>
      <c r="V18" s="10" t="s">
        <v>113</v>
      </c>
      <c r="W18" s="8" t="s">
        <v>58</v>
      </c>
      <c r="X18" s="10" t="s">
        <v>163</v>
      </c>
      <c r="Y18" s="13"/>
      <c r="Z18" s="13"/>
    </row>
    <row r="19" customFormat="false" ht="90" hidden="false" customHeight="true" outlineLevel="0" collapsed="false">
      <c r="A19" s="10" t="n">
        <v>16</v>
      </c>
      <c r="B19" s="8" t="s">
        <v>164</v>
      </c>
      <c r="C19" s="8" t="s">
        <v>69</v>
      </c>
      <c r="D19" s="9" t="n">
        <v>46081</v>
      </c>
      <c r="E19" s="9" t="n">
        <v>46093</v>
      </c>
      <c r="F19" s="10" t="n">
        <v>2026</v>
      </c>
      <c r="G19" s="10" t="s">
        <v>165</v>
      </c>
      <c r="H19" s="10" t="s">
        <v>50</v>
      </c>
      <c r="I19" s="8" t="s">
        <v>86</v>
      </c>
      <c r="J19" s="10"/>
      <c r="K19" s="8" t="s">
        <v>166</v>
      </c>
      <c r="L19" s="10" t="s">
        <v>167</v>
      </c>
      <c r="M19" s="8" t="s">
        <v>55</v>
      </c>
      <c r="N19" s="8" t="s">
        <v>55</v>
      </c>
      <c r="O19" s="10"/>
      <c r="P19" s="10"/>
      <c r="Q19" s="10"/>
      <c r="R19" s="10" t="s">
        <v>168</v>
      </c>
      <c r="S19" s="11" t="str">
        <f aca="false">IF(AND(N19&lt;&gt;"",O19&lt;&gt;""),"○",IF(N19&lt;&gt;"","△","×"))</f>
        <v>△</v>
      </c>
      <c r="T19" s="11" t="str">
        <f aca="false">IF(Q19&lt;&gt;"","○","×")</f>
        <v>×</v>
      </c>
      <c r="U19" s="12" t="str">
        <f aca="true">IF(L19="","対策未記載",IF(Q19&lt;&gt;"","完了",IF(AND(P19&lt;&gt;"",P19&lt;TODAY()),"期限超過",IF(O19="","承認日なし","対応中"))))</f>
        <v>承認日なし</v>
      </c>
      <c r="V19" s="10" t="s">
        <v>57</v>
      </c>
      <c r="W19" s="10" t="s">
        <v>89</v>
      </c>
      <c r="X19" s="10" t="s">
        <v>169</v>
      </c>
      <c r="Y19" s="13"/>
      <c r="Z19" s="13"/>
    </row>
    <row r="20" customFormat="false" ht="90" hidden="false" customHeight="true" outlineLevel="0" collapsed="false">
      <c r="A20" s="10" t="n">
        <v>17</v>
      </c>
      <c r="B20" s="8" t="s">
        <v>170</v>
      </c>
      <c r="C20" s="8" t="s">
        <v>69</v>
      </c>
      <c r="D20" s="9" t="n">
        <v>46112</v>
      </c>
      <c r="E20" s="9" t="n">
        <v>46113</v>
      </c>
      <c r="F20" s="10" t="n">
        <v>2026</v>
      </c>
      <c r="G20" s="10" t="s">
        <v>165</v>
      </c>
      <c r="H20" s="10" t="s">
        <v>50</v>
      </c>
      <c r="I20" s="8" t="s">
        <v>51</v>
      </c>
      <c r="J20" s="8" t="s">
        <v>118</v>
      </c>
      <c r="K20" s="8" t="s">
        <v>171</v>
      </c>
      <c r="L20" s="10" t="s">
        <v>172</v>
      </c>
      <c r="M20" s="8" t="s">
        <v>55</v>
      </c>
      <c r="N20" s="8" t="s">
        <v>55</v>
      </c>
      <c r="O20" s="9" t="n">
        <v>46113</v>
      </c>
      <c r="P20" s="10"/>
      <c r="Q20" s="10"/>
      <c r="R20" s="10" t="s">
        <v>173</v>
      </c>
      <c r="S20" s="11" t="str">
        <f aca="false">IF(AND(N20&lt;&gt;"",O20&lt;&gt;""),"○",IF(N20&lt;&gt;"","△","×"))</f>
        <v>○</v>
      </c>
      <c r="T20" s="11" t="str">
        <f aca="false">IF(Q20&lt;&gt;"","○","×")</f>
        <v>×</v>
      </c>
      <c r="U20" s="12" t="str">
        <f aca="true">IF(L20="","対策未記載",IF(Q20&lt;&gt;"","完了",IF(AND(P20&lt;&gt;"",P20&lt;TODAY()),"期限超過",IF(O20="","承認日なし","対応中"))))</f>
        <v>対応中</v>
      </c>
      <c r="V20" s="10" t="s">
        <v>57</v>
      </c>
      <c r="W20" s="14" t="s">
        <v>174</v>
      </c>
      <c r="X20" s="10" t="s">
        <v>175</v>
      </c>
      <c r="Y20" s="13"/>
      <c r="Z20" s="13"/>
    </row>
    <row r="21" customFormat="false" ht="90" hidden="false" customHeight="true" outlineLevel="0" collapsed="false">
      <c r="A21" s="10" t="n">
        <v>18</v>
      </c>
      <c r="B21" s="8" t="s">
        <v>176</v>
      </c>
      <c r="C21" s="8" t="s">
        <v>69</v>
      </c>
      <c r="D21" s="9" t="n">
        <v>46136</v>
      </c>
      <c r="E21" s="9" t="n">
        <v>46140</v>
      </c>
      <c r="F21" s="10" t="n">
        <v>2026</v>
      </c>
      <c r="G21" s="10" t="s">
        <v>159</v>
      </c>
      <c r="H21" s="10" t="s">
        <v>50</v>
      </c>
      <c r="I21" s="8" t="s">
        <v>51</v>
      </c>
      <c r="J21" s="10" t="s">
        <v>177</v>
      </c>
      <c r="K21" s="8" t="s">
        <v>178</v>
      </c>
      <c r="L21" s="10" t="s">
        <v>179</v>
      </c>
      <c r="M21" s="8" t="s">
        <v>55</v>
      </c>
      <c r="N21" s="8" t="s">
        <v>55</v>
      </c>
      <c r="O21" s="9" t="n">
        <v>46142</v>
      </c>
      <c r="P21" s="9" t="n">
        <v>46142</v>
      </c>
      <c r="Q21" s="9" t="n">
        <v>46142</v>
      </c>
      <c r="R21" s="10"/>
      <c r="S21" s="11" t="str">
        <f aca="false">IF(AND(N21&lt;&gt;"",O21&lt;&gt;""),"○",IF(N21&lt;&gt;"","△","×"))</f>
        <v>○</v>
      </c>
      <c r="T21" s="11" t="str">
        <f aca="false">IF(Q21&lt;&gt;"","○","×")</f>
        <v>○</v>
      </c>
      <c r="U21" s="12" t="str">
        <f aca="true">IF(L21="","対策未記載",IF(Q21&lt;&gt;"","完了",IF(AND(P21&lt;&gt;"",P21&lt;TODAY()),"期限超過",IF(O21="","承認日なし","対応中"))))</f>
        <v>完了</v>
      </c>
      <c r="V21" s="10" t="s">
        <v>113</v>
      </c>
      <c r="W21" s="8" t="s">
        <v>58</v>
      </c>
      <c r="X21" s="10" t="s">
        <v>180</v>
      </c>
      <c r="Y21" s="13"/>
      <c r="Z21" s="13"/>
    </row>
    <row r="22" customFormat="false" ht="90" hidden="false" customHeight="true" outlineLevel="0" collapsed="false">
      <c r="A22" s="10" t="n">
        <v>19</v>
      </c>
      <c r="B22" s="8" t="s">
        <v>181</v>
      </c>
      <c r="C22" s="8" t="s">
        <v>69</v>
      </c>
      <c r="D22" s="9" t="n">
        <v>46169</v>
      </c>
      <c r="E22" s="9" t="n">
        <v>46169</v>
      </c>
      <c r="F22" s="10" t="n">
        <v>2026</v>
      </c>
      <c r="G22" s="10" t="s">
        <v>182</v>
      </c>
      <c r="H22" s="10" t="s">
        <v>50</v>
      </c>
      <c r="I22" s="8" t="s">
        <v>51</v>
      </c>
      <c r="J22" s="8" t="s">
        <v>118</v>
      </c>
      <c r="K22" s="8" t="s">
        <v>183</v>
      </c>
      <c r="L22" s="10" t="s">
        <v>184</v>
      </c>
      <c r="M22" s="8" t="s">
        <v>55</v>
      </c>
      <c r="N22" s="8" t="s">
        <v>55</v>
      </c>
      <c r="O22" s="9" t="n">
        <v>46169</v>
      </c>
      <c r="P22" s="9" t="n">
        <v>46169</v>
      </c>
      <c r="Q22" s="9" t="n">
        <v>46169</v>
      </c>
      <c r="R22" s="10" t="s">
        <v>185</v>
      </c>
      <c r="S22" s="11" t="str">
        <f aca="false">IF(AND(N22&lt;&gt;"",O22&lt;&gt;""),"○",IF(N22&lt;&gt;"","△","×"))</f>
        <v>○</v>
      </c>
      <c r="T22" s="11" t="str">
        <f aca="false">IF(Q22&lt;&gt;"","○","×")</f>
        <v>○</v>
      </c>
      <c r="U22" s="12" t="str">
        <f aca="true">IF(L22="","対策未記載",IF(Q22&lt;&gt;"","完了",IF(AND(P22&lt;&gt;"",P22&lt;TODAY()),"期限超過",IF(O22="","承認日なし","対応中"))))</f>
        <v>完了</v>
      </c>
      <c r="V22" s="10" t="s">
        <v>57</v>
      </c>
      <c r="W22" s="14" t="s">
        <v>174</v>
      </c>
      <c r="X22" s="10" t="s">
        <v>186</v>
      </c>
      <c r="Y22" s="13"/>
      <c r="Z22" s="13"/>
    </row>
    <row r="23" customFormat="false" ht="90" hidden="false" customHeight="true" outlineLevel="0" collapsed="false">
      <c r="A23" s="10" t="n">
        <v>20</v>
      </c>
      <c r="B23" s="8" t="s">
        <v>187</v>
      </c>
      <c r="C23" s="8" t="s">
        <v>69</v>
      </c>
      <c r="D23" s="9" t="n">
        <v>46137</v>
      </c>
      <c r="E23" s="9" t="n">
        <v>46169</v>
      </c>
      <c r="F23" s="10" t="n">
        <v>2026</v>
      </c>
      <c r="G23" s="10" t="s">
        <v>188</v>
      </c>
      <c r="H23" s="10" t="s">
        <v>50</v>
      </c>
      <c r="I23" s="8" t="s">
        <v>51</v>
      </c>
      <c r="J23" s="10" t="s">
        <v>189</v>
      </c>
      <c r="K23" s="8" t="s">
        <v>190</v>
      </c>
      <c r="L23" s="10" t="s">
        <v>191</v>
      </c>
      <c r="M23" s="8" t="s">
        <v>55</v>
      </c>
      <c r="N23" s="8" t="s">
        <v>55</v>
      </c>
      <c r="O23" s="9" t="n">
        <v>46175</v>
      </c>
      <c r="P23" s="9" t="n">
        <v>46176</v>
      </c>
      <c r="Q23" s="10"/>
      <c r="R23" s="10" t="s">
        <v>192</v>
      </c>
      <c r="S23" s="11" t="str">
        <f aca="false">IF(AND(N23&lt;&gt;"",O23&lt;&gt;""),"○",IF(N23&lt;&gt;"","△","×"))</f>
        <v>○</v>
      </c>
      <c r="T23" s="11" t="str">
        <f aca="false">IF(Q23&lt;&gt;"","○","×")</f>
        <v>×</v>
      </c>
      <c r="U23" s="12" t="str">
        <f aca="true">IF(L23="","対策未記載",IF(Q23&lt;&gt;"","完了",IF(AND(P23&lt;&gt;"",P23&lt;TODAY()),"期限超過",IF(O23="","承認日なし","対応中"))))</f>
        <v>期限超過</v>
      </c>
      <c r="V23" s="10" t="s">
        <v>113</v>
      </c>
      <c r="W23" s="14" t="s">
        <v>114</v>
      </c>
      <c r="X23" s="10" t="s">
        <v>193</v>
      </c>
      <c r="Y23" s="13"/>
      <c r="Z23" s="13"/>
    </row>
    <row r="24" customFormat="false" ht="90" hidden="false" customHeight="true" outlineLevel="0" collapsed="false">
      <c r="A24" s="10" t="n">
        <v>21</v>
      </c>
      <c r="B24" s="8" t="s">
        <v>194</v>
      </c>
      <c r="C24" s="8" t="s">
        <v>69</v>
      </c>
      <c r="D24" s="9" t="n">
        <v>46167</v>
      </c>
      <c r="E24" s="9" t="n">
        <v>46189</v>
      </c>
      <c r="F24" s="10" t="n">
        <v>2026</v>
      </c>
      <c r="G24" s="10" t="s">
        <v>182</v>
      </c>
      <c r="H24" s="10" t="s">
        <v>50</v>
      </c>
      <c r="I24" s="8" t="s">
        <v>51</v>
      </c>
      <c r="J24" s="8" t="s">
        <v>118</v>
      </c>
      <c r="K24" s="8" t="s">
        <v>195</v>
      </c>
      <c r="L24" s="10" t="s">
        <v>196</v>
      </c>
      <c r="M24" s="8" t="s">
        <v>55</v>
      </c>
      <c r="N24" s="8" t="s">
        <v>55</v>
      </c>
      <c r="O24" s="9" t="n">
        <v>46189</v>
      </c>
      <c r="P24" s="9" t="n">
        <v>46189</v>
      </c>
      <c r="Q24" s="9" t="n">
        <v>46189</v>
      </c>
      <c r="R24" s="10" t="s">
        <v>197</v>
      </c>
      <c r="S24" s="11" t="str">
        <f aca="false">IF(AND(N24&lt;&gt;"",O24&lt;&gt;""),"○",IF(N24&lt;&gt;"","△","×"))</f>
        <v>○</v>
      </c>
      <c r="T24" s="11" t="str">
        <f aca="false">IF(Q24&lt;&gt;"","○","×")</f>
        <v>○</v>
      </c>
      <c r="U24" s="12" t="str">
        <f aca="true">IF(L24="","対策未記載",IF(Q24&lt;&gt;"","完了",IF(AND(P24&lt;&gt;"",P24&lt;TODAY()),"期限超過",IF(O24="","承認日なし","対応中"))))</f>
        <v>完了</v>
      </c>
      <c r="V24" s="10" t="s">
        <v>57</v>
      </c>
      <c r="W24" s="14" t="s">
        <v>174</v>
      </c>
      <c r="X24" s="10" t="s">
        <v>198</v>
      </c>
      <c r="Y24" s="13"/>
      <c r="Z24" s="13"/>
    </row>
    <row r="25" customFormat="false" ht="90" hidden="false" customHeight="true" outlineLevel="0" collapsed="false">
      <c r="A25" s="10" t="n">
        <v>22</v>
      </c>
      <c r="B25" s="8" t="s">
        <v>199</v>
      </c>
      <c r="C25" s="8" t="s">
        <v>69</v>
      </c>
      <c r="D25" s="9" t="n">
        <v>46127</v>
      </c>
      <c r="E25" s="9" t="n">
        <v>46192</v>
      </c>
      <c r="F25" s="10" t="n">
        <v>2026</v>
      </c>
      <c r="G25" s="10" t="s">
        <v>200</v>
      </c>
      <c r="H25" s="10" t="s">
        <v>50</v>
      </c>
      <c r="I25" s="8" t="s">
        <v>51</v>
      </c>
      <c r="J25" s="8" t="s">
        <v>52</v>
      </c>
      <c r="K25" s="8" t="s">
        <v>201</v>
      </c>
      <c r="L25" s="10" t="s">
        <v>202</v>
      </c>
      <c r="M25" s="8" t="s">
        <v>55</v>
      </c>
      <c r="N25" s="8" t="s">
        <v>55</v>
      </c>
      <c r="O25" s="9" t="n">
        <v>46192</v>
      </c>
      <c r="P25" s="9" t="n">
        <v>46192</v>
      </c>
      <c r="Q25" s="9" t="n">
        <v>46192</v>
      </c>
      <c r="R25" s="10" t="s">
        <v>203</v>
      </c>
      <c r="S25" s="11" t="str">
        <f aca="false">IF(AND(N25&lt;&gt;"",O25&lt;&gt;""),"○",IF(N25&lt;&gt;"","△","×"))</f>
        <v>○</v>
      </c>
      <c r="T25" s="11" t="str">
        <f aca="false">IF(Q25&lt;&gt;"","○","×")</f>
        <v>○</v>
      </c>
      <c r="U25" s="12" t="str">
        <f aca="true">IF(L25="","対策未記載",IF(Q25&lt;&gt;"","完了",IF(AND(P25&lt;&gt;"",P25&lt;TODAY()),"期限超過",IF(O25="","承認日なし","対応中"))))</f>
        <v>完了</v>
      </c>
      <c r="V25" s="10" t="s">
        <v>113</v>
      </c>
      <c r="W25" s="14" t="s">
        <v>114</v>
      </c>
      <c r="X25" s="10" t="s">
        <v>204</v>
      </c>
      <c r="Y25" s="13"/>
      <c r="Z25" s="13"/>
    </row>
    <row r="26" customFormat="false" ht="90" hidden="false" customHeight="true" outlineLevel="0" collapsed="false">
      <c r="A26" s="10" t="n">
        <v>23</v>
      </c>
      <c r="B26" s="8" t="s">
        <v>205</v>
      </c>
      <c r="C26" s="8" t="s">
        <v>69</v>
      </c>
      <c r="D26" s="9" t="n">
        <v>46142</v>
      </c>
      <c r="E26" s="9" t="n">
        <v>46191</v>
      </c>
      <c r="F26" s="10" t="n">
        <v>2026</v>
      </c>
      <c r="G26" s="10" t="s">
        <v>206</v>
      </c>
      <c r="H26" s="10" t="s">
        <v>62</v>
      </c>
      <c r="I26" s="8" t="s">
        <v>51</v>
      </c>
      <c r="J26" s="10" t="s">
        <v>207</v>
      </c>
      <c r="K26" s="10" t="s">
        <v>207</v>
      </c>
      <c r="L26" s="10" t="s">
        <v>208</v>
      </c>
      <c r="M26" s="8" t="s">
        <v>55</v>
      </c>
      <c r="N26" s="8" t="s">
        <v>55</v>
      </c>
      <c r="O26" s="9" t="n">
        <v>46192</v>
      </c>
      <c r="P26" s="9" t="n">
        <v>46192</v>
      </c>
      <c r="Q26" s="10"/>
      <c r="R26" s="10" t="s">
        <v>209</v>
      </c>
      <c r="S26" s="11" t="str">
        <f aca="false">IF(AND(N26&lt;&gt;"",O26&lt;&gt;""),"○",IF(N26&lt;&gt;"","△","×"))</f>
        <v>○</v>
      </c>
      <c r="T26" s="11" t="str">
        <f aca="false">IF(Q26&lt;&gt;"","○","×")</f>
        <v>×</v>
      </c>
      <c r="U26" s="12" t="str">
        <f aca="true">IF(L26="","対策未記載",IF(Q26&lt;&gt;"","完了",IF(AND(P26&lt;&gt;"",P26&lt;TODAY()),"期限超過",IF(O26="","承認日なし","対応中"))))</f>
        <v>期限超過</v>
      </c>
      <c r="V26" s="10" t="s">
        <v>65</v>
      </c>
      <c r="W26" s="14" t="s">
        <v>66</v>
      </c>
      <c r="X26" s="10" t="s">
        <v>210</v>
      </c>
      <c r="Y26" s="13"/>
      <c r="Z26" s="13"/>
    </row>
    <row r="27" customFormat="false" ht="90" hidden="false" customHeight="true" outlineLevel="0" collapsed="false">
      <c r="A27" s="10" t="n">
        <v>24</v>
      </c>
      <c r="B27" s="8" t="s">
        <v>211</v>
      </c>
      <c r="C27" s="8" t="s">
        <v>69</v>
      </c>
      <c r="D27" s="9" t="n">
        <v>45839</v>
      </c>
      <c r="E27" s="9" t="n">
        <v>46225</v>
      </c>
      <c r="F27" s="10" t="n">
        <v>2026</v>
      </c>
      <c r="G27" s="8" t="s">
        <v>212</v>
      </c>
      <c r="H27" s="10" t="s">
        <v>50</v>
      </c>
      <c r="I27" s="8" t="s">
        <v>51</v>
      </c>
      <c r="J27" s="10" t="s">
        <v>213</v>
      </c>
      <c r="K27" s="10" t="s">
        <v>214</v>
      </c>
      <c r="L27" s="10" t="s">
        <v>215</v>
      </c>
      <c r="M27" s="8" t="s">
        <v>55</v>
      </c>
      <c r="N27" s="8" t="s">
        <v>55</v>
      </c>
      <c r="O27" s="9" t="n">
        <v>46225</v>
      </c>
      <c r="P27" s="9" t="n">
        <v>46234</v>
      </c>
      <c r="Q27" s="10"/>
      <c r="R27" s="10" t="s">
        <v>216</v>
      </c>
      <c r="S27" s="11" t="str">
        <f aca="false">IF(AND(N27&lt;&gt;"",O27&lt;&gt;""),"○",IF(N27&lt;&gt;"","△","×"))</f>
        <v>○</v>
      </c>
      <c r="T27" s="11" t="str">
        <f aca="false">IF(Q27&lt;&gt;"","○","×")</f>
        <v>×</v>
      </c>
      <c r="U27" s="12" t="str">
        <f aca="true">IF(L27="","対策未記載",IF(Q27&lt;&gt;"","完了",IF(AND(P27&lt;&gt;"",P27&lt;TODAY()),"期限超過",IF(O27="","承認日なし","対応中"))))</f>
        <v>期限超過</v>
      </c>
      <c r="V27" s="10" t="s">
        <v>130</v>
      </c>
      <c r="W27" s="14" t="s">
        <v>131</v>
      </c>
      <c r="X27" s="8" t="s">
        <v>217</v>
      </c>
      <c r="Y27" s="13"/>
      <c r="Z27" s="13"/>
    </row>
    <row r="28" customFormat="false" ht="90" hidden="false" customHeight="true" outlineLevel="0" collapsed="false">
      <c r="A28" s="15" t="n">
        <v>25</v>
      </c>
      <c r="B28" s="15" t="s">
        <v>218</v>
      </c>
      <c r="C28" s="15" t="s">
        <v>69</v>
      </c>
      <c r="D28" s="16" t="n">
        <v>46227</v>
      </c>
      <c r="E28" s="16" t="n">
        <v>46227</v>
      </c>
      <c r="F28" s="15" t="n">
        <v>2026</v>
      </c>
      <c r="G28" s="17" t="s">
        <v>219</v>
      </c>
      <c r="H28" s="17" t="s">
        <v>50</v>
      </c>
      <c r="I28" s="15" t="s">
        <v>51</v>
      </c>
      <c r="J28" s="17" t="s">
        <v>220</v>
      </c>
      <c r="K28" s="17" t="s">
        <v>87</v>
      </c>
      <c r="L28" s="17"/>
      <c r="M28" s="17"/>
      <c r="N28" s="17"/>
      <c r="O28" s="17"/>
      <c r="P28" s="17"/>
      <c r="Q28" s="17"/>
      <c r="R28" s="17"/>
      <c r="S28" s="11" t="str">
        <f aca="false">IF(AND(N28&lt;&gt;"",O28&lt;&gt;""),"○",IF(N28&lt;&gt;"","△","×"))</f>
        <v>×</v>
      </c>
      <c r="T28" s="11" t="str">
        <f aca="false">IF(Q28&lt;&gt;"","○","×")</f>
        <v>×</v>
      </c>
      <c r="U28" s="12" t="str">
        <f aca="true">IF(L28="","対策未記載",IF(Q28&lt;&gt;"","完了",IF(AND(P28&lt;&gt;"",P28&lt;TODAY()),"期限超過",IF(O28="","承認日なし","対応中"))))</f>
        <v>対策未記載</v>
      </c>
      <c r="V28" s="10" t="s">
        <v>155</v>
      </c>
      <c r="W28" s="14" t="s">
        <v>156</v>
      </c>
      <c r="X28" s="10" t="s">
        <v>221</v>
      </c>
      <c r="Y28" s="13"/>
      <c r="Z28" s="13"/>
    </row>
    <row r="29" customFormat="false" ht="90" hidden="false" customHeight="true" outlineLevel="0" collapsed="false">
      <c r="A29" s="10" t="n">
        <v>26</v>
      </c>
      <c r="B29" s="8" t="s">
        <v>222</v>
      </c>
      <c r="C29" s="8" t="s">
        <v>69</v>
      </c>
      <c r="D29" s="9" t="n">
        <v>46241</v>
      </c>
      <c r="E29" s="9" t="n">
        <v>46241</v>
      </c>
      <c r="F29" s="10" t="n">
        <v>2026</v>
      </c>
      <c r="G29" s="10" t="s">
        <v>223</v>
      </c>
      <c r="H29" s="10" t="s">
        <v>62</v>
      </c>
      <c r="I29" s="8" t="s">
        <v>86</v>
      </c>
      <c r="J29" s="8" t="s">
        <v>52</v>
      </c>
      <c r="K29" s="10"/>
      <c r="L29" s="10" t="s">
        <v>224</v>
      </c>
      <c r="M29" s="8" t="s">
        <v>55</v>
      </c>
      <c r="N29" s="8" t="s">
        <v>55</v>
      </c>
      <c r="O29" s="10"/>
      <c r="P29" s="10"/>
      <c r="Q29" s="10"/>
      <c r="R29" s="10"/>
      <c r="S29" s="11" t="str">
        <f aca="false">IF(AND(N29&lt;&gt;"",O29&lt;&gt;""),"○",IF(N29&lt;&gt;"","△","×"))</f>
        <v>△</v>
      </c>
      <c r="T29" s="11" t="str">
        <f aca="false">IF(Q29&lt;&gt;"","○","×")</f>
        <v>×</v>
      </c>
      <c r="U29" s="12" t="str">
        <f aca="true">IF(L29="","対策未記載",IF(Q29&lt;&gt;"","完了",IF(AND(P29&lt;&gt;"",P29&lt;TODAY()),"期限超過",IF(O29="","承認日なし","対応中"))))</f>
        <v>承認日なし</v>
      </c>
      <c r="V29" s="10" t="s">
        <v>136</v>
      </c>
      <c r="W29" s="14" t="s">
        <v>137</v>
      </c>
      <c r="X29" s="10" t="s">
        <v>225</v>
      </c>
      <c r="Y29" s="13"/>
      <c r="Z29" s="13"/>
    </row>
    <row r="30" customFormat="false" ht="90" hidden="false" customHeight="true" outlineLevel="0" collapsed="false">
      <c r="A30" s="10" t="n">
        <v>27</v>
      </c>
      <c r="B30" s="8" t="s">
        <v>226</v>
      </c>
      <c r="C30" s="8" t="s">
        <v>69</v>
      </c>
      <c r="D30" s="9" t="n">
        <v>46238</v>
      </c>
      <c r="E30" s="9" t="n">
        <v>46238</v>
      </c>
      <c r="F30" s="10" t="n">
        <v>2026</v>
      </c>
      <c r="G30" s="10" t="s">
        <v>227</v>
      </c>
      <c r="H30" s="10" t="s">
        <v>50</v>
      </c>
      <c r="I30" s="8" t="s">
        <v>123</v>
      </c>
      <c r="J30" s="8" t="s">
        <v>110</v>
      </c>
      <c r="K30" s="10"/>
      <c r="L30" s="10" t="s">
        <v>228</v>
      </c>
      <c r="M30" s="8" t="s">
        <v>55</v>
      </c>
      <c r="N30" s="8" t="s">
        <v>55</v>
      </c>
      <c r="O30" s="9" t="n">
        <v>46252</v>
      </c>
      <c r="P30" s="9" t="n">
        <v>46252</v>
      </c>
      <c r="Q30" s="9" t="n">
        <v>46252</v>
      </c>
      <c r="R30" s="10" t="s">
        <v>229</v>
      </c>
      <c r="S30" s="11" t="str">
        <f aca="false">IF(AND(N30&lt;&gt;"",O30&lt;&gt;""),"○",IF(N30&lt;&gt;"","△","×"))</f>
        <v>○</v>
      </c>
      <c r="T30" s="11" t="str">
        <f aca="false">IF(Q30&lt;&gt;"","○","×")</f>
        <v>○</v>
      </c>
      <c r="U30" s="12" t="str">
        <f aca="true">IF(L30="","対策未記載",IF(Q30&lt;&gt;"","完了",IF(AND(P30&lt;&gt;"",P30&lt;TODAY()),"期限超過",IF(O30="","承認日なし","対応中"))))</f>
        <v>完了</v>
      </c>
      <c r="V30" s="10" t="s">
        <v>230</v>
      </c>
      <c r="W30" s="10" t="s">
        <v>89</v>
      </c>
      <c r="X30" s="10" t="s">
        <v>231</v>
      </c>
      <c r="Y30" s="13"/>
      <c r="Z30" s="13"/>
    </row>
    <row r="31" customFormat="false" ht="90" hidden="false" customHeight="true" outlineLevel="0" collapsed="false">
      <c r="A31" s="10" t="n">
        <v>28</v>
      </c>
      <c r="B31" s="8" t="s">
        <v>232</v>
      </c>
      <c r="C31" s="8" t="s">
        <v>69</v>
      </c>
      <c r="D31" s="9" t="n">
        <v>46252</v>
      </c>
      <c r="E31" s="9" t="n">
        <v>46252</v>
      </c>
      <c r="F31" s="10" t="n">
        <v>2026</v>
      </c>
      <c r="G31" s="10" t="s">
        <v>233</v>
      </c>
      <c r="H31" s="10" t="s">
        <v>62</v>
      </c>
      <c r="I31" s="8" t="s">
        <v>123</v>
      </c>
      <c r="J31" s="8" t="s">
        <v>52</v>
      </c>
      <c r="K31" s="10"/>
      <c r="L31" s="10" t="s">
        <v>234</v>
      </c>
      <c r="M31" s="8" t="s">
        <v>55</v>
      </c>
      <c r="N31" s="8" t="s">
        <v>55</v>
      </c>
      <c r="O31" s="9" t="n">
        <v>46254</v>
      </c>
      <c r="P31" s="9" t="n">
        <v>46254</v>
      </c>
      <c r="Q31" s="9" t="n">
        <v>46254</v>
      </c>
      <c r="R31" s="10"/>
      <c r="S31" s="11" t="str">
        <f aca="false">IF(AND(N31&lt;&gt;"",O31&lt;&gt;""),"○",IF(N31&lt;&gt;"","△","×"))</f>
        <v>○</v>
      </c>
      <c r="T31" s="11" t="str">
        <f aca="false">IF(Q31&lt;&gt;"","○","×")</f>
        <v>○</v>
      </c>
      <c r="U31" s="12" t="str">
        <f aca="true">IF(L31="","対策未記載",IF(Q31&lt;&gt;"","完了",IF(AND(P31&lt;&gt;"",P31&lt;TODAY()),"期限超過",IF(O31="","承認日なし","対応中"))))</f>
        <v>完了</v>
      </c>
      <c r="V31" s="10" t="s">
        <v>136</v>
      </c>
      <c r="W31" s="14" t="s">
        <v>137</v>
      </c>
      <c r="X31" s="10" t="s">
        <v>235</v>
      </c>
      <c r="Y31" s="13"/>
      <c r="Z31" s="13"/>
    </row>
    <row r="32" customFormat="false" ht="90" hidden="false" customHeight="true" outlineLevel="0" collapsed="false">
      <c r="A32" s="10" t="n">
        <v>29</v>
      </c>
      <c r="B32" s="8" t="s">
        <v>236</v>
      </c>
      <c r="C32" s="8" t="s">
        <v>69</v>
      </c>
      <c r="D32" s="9" t="n">
        <v>46290</v>
      </c>
      <c r="E32" s="9" t="n">
        <v>46293</v>
      </c>
      <c r="F32" s="10" t="n">
        <v>2026</v>
      </c>
      <c r="G32" s="10" t="s">
        <v>237</v>
      </c>
      <c r="H32" s="10"/>
      <c r="I32" s="8" t="s">
        <v>51</v>
      </c>
      <c r="J32" s="8" t="s">
        <v>52</v>
      </c>
      <c r="K32" s="10" t="s">
        <v>238</v>
      </c>
      <c r="L32" s="10" t="s">
        <v>239</v>
      </c>
      <c r="M32" s="8" t="s">
        <v>55</v>
      </c>
      <c r="N32" s="8" t="s">
        <v>55</v>
      </c>
      <c r="O32" s="9" t="n">
        <v>46293</v>
      </c>
      <c r="P32" s="9" t="n">
        <v>46293</v>
      </c>
      <c r="Q32" s="9" t="n">
        <v>46293</v>
      </c>
      <c r="R32" s="10" t="s">
        <v>240</v>
      </c>
      <c r="S32" s="11" t="str">
        <f aca="false">IF(AND(N32&lt;&gt;"",O32&lt;&gt;""),"○",IF(N32&lt;&gt;"","△","×"))</f>
        <v>○</v>
      </c>
      <c r="T32" s="11" t="str">
        <f aca="false">IF(Q32&lt;&gt;"","○","×")</f>
        <v>○</v>
      </c>
      <c r="U32" s="12" t="str">
        <f aca="true">IF(L32="","対策未記載",IF(Q32&lt;&gt;"","完了",IF(AND(P32&lt;&gt;"",P32&lt;TODAY()),"期限超過",IF(O32="","承認日なし","対応中"))))</f>
        <v>完了</v>
      </c>
      <c r="V32" s="10" t="s">
        <v>113</v>
      </c>
      <c r="W32" s="14" t="s">
        <v>114</v>
      </c>
      <c r="X32" s="10" t="s">
        <v>241</v>
      </c>
      <c r="Y32" s="13"/>
      <c r="Z32" s="13"/>
    </row>
    <row r="33" customFormat="false" ht="90" hidden="false" customHeight="true" outlineLevel="0" collapsed="false">
      <c r="A33" s="10" t="n">
        <v>30</v>
      </c>
      <c r="B33" s="8" t="s">
        <v>242</v>
      </c>
      <c r="C33" s="8" t="s">
        <v>69</v>
      </c>
      <c r="D33" s="9" t="n">
        <v>46290</v>
      </c>
      <c r="E33" s="9" t="n">
        <v>46296</v>
      </c>
      <c r="F33" s="10" t="n">
        <v>2026</v>
      </c>
      <c r="G33" s="10" t="s">
        <v>243</v>
      </c>
      <c r="H33" s="10" t="s">
        <v>50</v>
      </c>
      <c r="I33" s="8" t="s">
        <v>51</v>
      </c>
      <c r="J33" s="8" t="s">
        <v>118</v>
      </c>
      <c r="K33" s="8" t="s">
        <v>244</v>
      </c>
      <c r="L33" s="10" t="s">
        <v>245</v>
      </c>
      <c r="M33" s="8" t="s">
        <v>55</v>
      </c>
      <c r="N33" s="8" t="s">
        <v>55</v>
      </c>
      <c r="O33" s="9" t="n">
        <v>46302</v>
      </c>
      <c r="P33" s="9" t="n">
        <v>46418</v>
      </c>
      <c r="Q33" s="10"/>
      <c r="R33" s="10"/>
      <c r="S33" s="11" t="str">
        <f aca="false">IF(AND(N33&lt;&gt;"",O33&lt;&gt;""),"○",IF(N33&lt;&gt;"","△","×"))</f>
        <v>○</v>
      </c>
      <c r="T33" s="11" t="str">
        <f aca="false">IF(Q33&lt;&gt;"","○","×")</f>
        <v>×</v>
      </c>
      <c r="U33" s="12" t="str">
        <f aca="true">IF(L33="","対策未記載",IF(Q33&lt;&gt;"","完了",IF(AND(P33&lt;&gt;"",P33&lt;TODAY()),"期限超過",IF(O33="","承認日なし","対応中"))))</f>
        <v>対応中</v>
      </c>
      <c r="V33" s="10" t="s">
        <v>57</v>
      </c>
      <c r="W33" s="14" t="s">
        <v>174</v>
      </c>
      <c r="X33" s="10" t="s">
        <v>246</v>
      </c>
      <c r="Y33" s="13"/>
      <c r="Z33" s="13"/>
    </row>
    <row r="34" customFormat="false" ht="90" hidden="false" customHeight="true" outlineLevel="0" collapsed="false">
      <c r="A34" s="10" t="n">
        <v>31</v>
      </c>
      <c r="B34" s="8" t="s">
        <v>247</v>
      </c>
      <c r="C34" s="8" t="s">
        <v>69</v>
      </c>
      <c r="D34" s="9" t="n">
        <v>46290</v>
      </c>
      <c r="E34" s="9" t="n">
        <v>46296</v>
      </c>
      <c r="F34" s="10" t="n">
        <v>2026</v>
      </c>
      <c r="G34" s="10" t="s">
        <v>248</v>
      </c>
      <c r="H34" s="10" t="s">
        <v>50</v>
      </c>
      <c r="I34" s="8" t="s">
        <v>123</v>
      </c>
      <c r="J34" s="8" t="s">
        <v>118</v>
      </c>
      <c r="K34" s="10" t="s">
        <v>249</v>
      </c>
      <c r="L34" s="10"/>
      <c r="M34" s="10"/>
      <c r="N34" s="10"/>
      <c r="O34" s="10"/>
      <c r="P34" s="10"/>
      <c r="Q34" s="10"/>
      <c r="R34" s="10"/>
      <c r="S34" s="11" t="str">
        <f aca="false">IF(AND(N34&lt;&gt;"",O34&lt;&gt;""),"○",IF(N34&lt;&gt;"","△","×"))</f>
        <v>×</v>
      </c>
      <c r="T34" s="11" t="str">
        <f aca="false">IF(Q34&lt;&gt;"","○","×")</f>
        <v>×</v>
      </c>
      <c r="U34" s="12" t="str">
        <f aca="true">IF(L34="","対策未記載",IF(Q34&lt;&gt;"","完了",IF(AND(P34&lt;&gt;"",P34&lt;TODAY()),"期限超過",IF(O34="","承認日なし","対応中"))))</f>
        <v>対策未記載</v>
      </c>
      <c r="V34" s="10" t="s">
        <v>57</v>
      </c>
      <c r="W34" s="10" t="s">
        <v>89</v>
      </c>
      <c r="X34" s="10" t="s">
        <v>250</v>
      </c>
      <c r="Y34" s="13"/>
      <c r="Z34" s="13"/>
    </row>
    <row r="35" customFormat="false" ht="90" hidden="false" customHeight="true" outlineLevel="0" collapsed="false">
      <c r="A35" s="10" t="n">
        <v>32</v>
      </c>
      <c r="B35" s="8" t="s">
        <v>251</v>
      </c>
      <c r="C35" s="8" t="s">
        <v>69</v>
      </c>
      <c r="D35" s="9" t="n">
        <v>46296</v>
      </c>
      <c r="E35" s="9" t="n">
        <v>46303</v>
      </c>
      <c r="F35" s="10" t="n">
        <v>2026</v>
      </c>
      <c r="G35" s="10" t="s">
        <v>252</v>
      </c>
      <c r="H35" s="10" t="s">
        <v>62</v>
      </c>
      <c r="I35" s="8" t="s">
        <v>123</v>
      </c>
      <c r="J35" s="8" t="s">
        <v>253</v>
      </c>
      <c r="K35" s="10" t="s">
        <v>87</v>
      </c>
      <c r="L35" s="8" t="s">
        <v>254</v>
      </c>
      <c r="M35" s="8" t="s">
        <v>55</v>
      </c>
      <c r="N35" s="8" t="s">
        <v>55</v>
      </c>
      <c r="O35" s="9" t="n">
        <v>46302</v>
      </c>
      <c r="P35" s="10"/>
      <c r="Q35" s="10"/>
      <c r="R35" s="10" t="s">
        <v>255</v>
      </c>
      <c r="S35" s="11" t="str">
        <f aca="false">IF(AND(N35&lt;&gt;"",O35&lt;&gt;""),"○",IF(N35&lt;&gt;"","△","×"))</f>
        <v>○</v>
      </c>
      <c r="T35" s="11" t="str">
        <f aca="false">IF(Q35&lt;&gt;"","○","×")</f>
        <v>×</v>
      </c>
      <c r="U35" s="12" t="str">
        <f aca="true">IF(L35="","対策未記載",IF(Q35&lt;&gt;"","完了",IF(AND(P35&lt;&gt;"",P35&lt;TODAY()),"期限超過",IF(O35="","承認日なし","対応中"))))</f>
        <v>対応中</v>
      </c>
      <c r="V35" s="10" t="s">
        <v>136</v>
      </c>
      <c r="W35" s="14" t="s">
        <v>137</v>
      </c>
      <c r="X35" s="10" t="s">
        <v>256</v>
      </c>
      <c r="Y35" s="13"/>
      <c r="Z35" s="13"/>
    </row>
    <row r="36" customFormat="false" ht="90" hidden="false" customHeight="true" outlineLevel="0" collapsed="false">
      <c r="A36" s="10" t="n">
        <v>33</v>
      </c>
      <c r="B36" s="8" t="s">
        <v>257</v>
      </c>
      <c r="C36" s="8" t="s">
        <v>69</v>
      </c>
      <c r="D36" s="9" t="n">
        <v>46308</v>
      </c>
      <c r="E36" s="9" t="n">
        <v>46308</v>
      </c>
      <c r="F36" s="10" t="n">
        <v>2026</v>
      </c>
      <c r="G36" s="10" t="s">
        <v>258</v>
      </c>
      <c r="H36" s="10" t="s">
        <v>50</v>
      </c>
      <c r="I36" s="8" t="s">
        <v>123</v>
      </c>
      <c r="J36" s="8" t="s">
        <v>118</v>
      </c>
      <c r="K36" s="10" t="s">
        <v>87</v>
      </c>
      <c r="L36" s="10" t="s">
        <v>259</v>
      </c>
      <c r="M36" s="8" t="s">
        <v>55</v>
      </c>
      <c r="N36" s="8" t="s">
        <v>55</v>
      </c>
      <c r="O36" s="9" t="n">
        <v>46309</v>
      </c>
      <c r="P36" s="9" t="n">
        <v>46309</v>
      </c>
      <c r="Q36" s="9" t="n">
        <v>46309</v>
      </c>
      <c r="R36" s="10"/>
      <c r="S36" s="11" t="str">
        <f aca="false">IF(AND(N36&lt;&gt;"",O36&lt;&gt;""),"○",IF(N36&lt;&gt;"","△","×"))</f>
        <v>○</v>
      </c>
      <c r="T36" s="11" t="str">
        <f aca="false">IF(Q36&lt;&gt;"","○","×")</f>
        <v>○</v>
      </c>
      <c r="U36" s="12" t="str">
        <f aca="true">IF(L36="","対策未記載",IF(Q36&lt;&gt;"","完了",IF(AND(P36&lt;&gt;"",P36&lt;TODAY()),"期限超過",IF(O36="","承認日なし","対応中"))))</f>
        <v>完了</v>
      </c>
      <c r="V36" s="10" t="s">
        <v>94</v>
      </c>
      <c r="W36" s="10" t="s">
        <v>89</v>
      </c>
      <c r="X36" s="10" t="s">
        <v>260</v>
      </c>
      <c r="Y36" s="13"/>
      <c r="Z36" s="13"/>
    </row>
  </sheetData>
  <autoFilter ref="A1:Z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5" hidden="false" customHeight="false" outlineLevel="0" collapsed="false">
      <c r="A1" s="18" t="s">
        <v>261</v>
      </c>
    </row>
    <row r="2" customFormat="false" ht="15" hidden="false" customHeight="false" outlineLevel="0" collapsed="false">
      <c r="A2" s="7" t="s">
        <v>26</v>
      </c>
      <c r="B2" s="7" t="s">
        <v>262</v>
      </c>
      <c r="C2" s="7" t="s">
        <v>263</v>
      </c>
      <c r="D2" s="7" t="s">
        <v>264</v>
      </c>
      <c r="E2" s="7" t="s">
        <v>265</v>
      </c>
    </row>
    <row r="3" customFormat="false" ht="15" hidden="false" customHeight="false" outlineLevel="0" collapsed="false">
      <c r="A3" s="19" t="n">
        <v>2024</v>
      </c>
      <c r="B3" s="11" t="n">
        <f aca="false">COUNTIFS('母集団_2024-2026'!$F$2:$F$36,$A3,'母集団_2024-2026'!$I$2:$I$36,"1")</f>
        <v>0</v>
      </c>
      <c r="C3" s="11" t="n">
        <f aca="false">COUNTIFS('母集団_2024-2026'!$F$2:$F$36,$A3,'母集団_2024-2026'!$I$2:$I$36,"2")</f>
        <v>1</v>
      </c>
      <c r="D3" s="11" t="n">
        <f aca="false">COUNTIFS('母集団_2024-2026'!$F$2:$F$36,$A3,'母集団_2024-2026'!$I$2:$I$36,"3")</f>
        <v>5</v>
      </c>
      <c r="E3" s="11" t="n">
        <f aca="false">COUNTIF('母集団_2024-2026'!$F$2:$F$36,$A3)</f>
        <v>6</v>
      </c>
    </row>
    <row r="4" customFormat="false" ht="15" hidden="false" customHeight="false" outlineLevel="0" collapsed="false">
      <c r="A4" s="19" t="n">
        <v>2025</v>
      </c>
      <c r="B4" s="11" t="n">
        <f aca="false">COUNTIFS('母集団_2024-2026'!$F$2:$F$36,$A4,'母集団_2024-2026'!$I$2:$I$36,"1")</f>
        <v>1</v>
      </c>
      <c r="C4" s="11" t="n">
        <f aca="false">COUNTIFS('母集団_2024-2026'!$F$2:$F$36,$A4,'母集団_2024-2026'!$I$2:$I$36,"2")</f>
        <v>2</v>
      </c>
      <c r="D4" s="11" t="n">
        <f aca="false">COUNTIFS('母集団_2024-2026'!$F$2:$F$36,$A4,'母集団_2024-2026'!$I$2:$I$36,"3")</f>
        <v>8</v>
      </c>
      <c r="E4" s="11" t="n">
        <f aca="false">COUNTIF('母集団_2024-2026'!$F$2:$F$36,$A4)</f>
        <v>11</v>
      </c>
    </row>
    <row r="5" customFormat="false" ht="15" hidden="false" customHeight="false" outlineLevel="0" collapsed="false">
      <c r="A5" s="19" t="n">
        <v>2026</v>
      </c>
      <c r="B5" s="11" t="n">
        <f aca="false">COUNTIFS('母集団_2024-2026'!$F$2:$F$36,$A5,'母集団_2024-2026'!$I$2:$I$36,"1")</f>
        <v>5</v>
      </c>
      <c r="C5" s="11" t="n">
        <f aca="false">COUNTIFS('母集団_2024-2026'!$F$2:$F$36,$A5,'母集団_2024-2026'!$I$2:$I$36,"2")</f>
        <v>2</v>
      </c>
      <c r="D5" s="11" t="n">
        <f aca="false">COUNTIFS('母集団_2024-2026'!$F$2:$F$36,$A5,'母集団_2024-2026'!$I$2:$I$36,"3")</f>
        <v>11</v>
      </c>
      <c r="E5" s="11" t="n">
        <f aca="false">COUNTIF('母集団_2024-2026'!$F$2:$F$36,$A5)</f>
        <v>18</v>
      </c>
    </row>
    <row r="6" customFormat="false" ht="15" hidden="false" customHeight="false" outlineLevel="0" collapsed="false">
      <c r="A6" s="20" t="s">
        <v>265</v>
      </c>
      <c r="B6" s="21" t="n">
        <f aca="false">SUM(B3:B5)</f>
        <v>6</v>
      </c>
      <c r="C6" s="21" t="n">
        <f aca="false">SUM(C3:C5)</f>
        <v>5</v>
      </c>
      <c r="D6" s="21" t="n">
        <f aca="false">SUM(D3:D5)</f>
        <v>24</v>
      </c>
      <c r="E6" s="21" t="n">
        <f aca="false">SUM(E3:E5)</f>
        <v>35</v>
      </c>
    </row>
    <row r="7" customFormat="false" ht="15" hidden="false" customHeight="false" outlineLevel="0" collapsed="false">
      <c r="A7" s="22" t="s">
        <v>266</v>
      </c>
    </row>
    <row r="9" customFormat="false" ht="15" hidden="false" customHeight="false" outlineLevel="0" collapsed="false">
      <c r="A9" s="18" t="s">
        <v>267</v>
      </c>
    </row>
    <row r="10" customFormat="false" ht="15" hidden="false" customHeight="false" outlineLevel="0" collapsed="false">
      <c r="A10" s="7" t="s">
        <v>28</v>
      </c>
      <c r="B10" s="7" t="s">
        <v>262</v>
      </c>
      <c r="C10" s="7" t="s">
        <v>263</v>
      </c>
      <c r="D10" s="7" t="s">
        <v>264</v>
      </c>
      <c r="E10" s="7" t="s">
        <v>265</v>
      </c>
    </row>
    <row r="11" customFormat="false" ht="15" hidden="false" customHeight="false" outlineLevel="0" collapsed="false">
      <c r="A11" s="10" t="s">
        <v>50</v>
      </c>
      <c r="B11" s="11" t="n">
        <f aca="false">COUNTIFS('母集団_2024-2026'!$H$2:$H$36,$A11,'母集団_2024-2026'!$I$2:$I$36,"1")</f>
        <v>3</v>
      </c>
      <c r="C11" s="11" t="n">
        <f aca="false">COUNTIFS('母集団_2024-2026'!$H$2:$H$36,$A11,'母集団_2024-2026'!$I$2:$I$36,"2")</f>
        <v>4</v>
      </c>
      <c r="D11" s="11" t="n">
        <f aca="false">COUNTIFS('母集団_2024-2026'!$H$2:$H$36,$A11,'母集団_2024-2026'!$I$2:$I$36,"3")</f>
        <v>15</v>
      </c>
      <c r="E11" s="11" t="n">
        <f aca="false">COUNTIF('母集団_2024-2026'!$H$2:$H$36,$A11)</f>
        <v>22</v>
      </c>
    </row>
    <row r="12" customFormat="false" ht="15" hidden="false" customHeight="false" outlineLevel="0" collapsed="false">
      <c r="A12" s="10" t="s">
        <v>62</v>
      </c>
      <c r="B12" s="11" t="n">
        <f aca="false">COUNTIFS('母集団_2024-2026'!$H$2:$H$36,$A12,'母集団_2024-2026'!$I$2:$I$36,"1")</f>
        <v>3</v>
      </c>
      <c r="C12" s="11" t="n">
        <f aca="false">COUNTIFS('母集団_2024-2026'!$H$2:$H$36,$A12,'母集団_2024-2026'!$I$2:$I$36,"2")</f>
        <v>1</v>
      </c>
      <c r="D12" s="11" t="n">
        <f aca="false">COUNTIFS('母集団_2024-2026'!$H$2:$H$36,$A12,'母集団_2024-2026'!$I$2:$I$36,"3")</f>
        <v>8</v>
      </c>
      <c r="E12" s="11" t="n">
        <f aca="false">COUNTIF('母集団_2024-2026'!$H$2:$H$36,$A12)</f>
        <v>12</v>
      </c>
    </row>
    <row r="13" customFormat="false" ht="15" hidden="false" customHeight="false" outlineLevel="0" collapsed="false">
      <c r="A13" s="10" t="s">
        <v>268</v>
      </c>
      <c r="B13" s="11" t="n">
        <f aca="false">COUNTIFS('母集団_2024-2026'!$H$2:$H$36,"",'母集団_2024-2026'!$I$2:$I$36,"1")</f>
        <v>0</v>
      </c>
      <c r="C13" s="11" t="n">
        <f aca="false">COUNTIFS('母集団_2024-2026'!$H$2:$H$36,"",'母集団_2024-2026'!$I$2:$I$36,"2")</f>
        <v>0</v>
      </c>
      <c r="D13" s="11" t="n">
        <f aca="false">COUNTIFS('母集団_2024-2026'!$H$2:$H$36,"",'母集団_2024-2026'!$I$2:$I$36,"3")</f>
        <v>1</v>
      </c>
      <c r="E13" s="11" t="n">
        <f aca="false">COUNTIF('母集団_2024-2026'!$H$2:$H$36,"")</f>
        <v>1</v>
      </c>
    </row>
    <row r="14" customFormat="false" ht="15" hidden="false" customHeight="false" outlineLevel="0" collapsed="false">
      <c r="A14" s="20" t="s">
        <v>265</v>
      </c>
      <c r="B14" s="21" t="n">
        <f aca="false">SUM(B11:B13)</f>
        <v>6</v>
      </c>
      <c r="C14" s="21" t="n">
        <f aca="false">SUM(C11:C13)</f>
        <v>5</v>
      </c>
      <c r="D14" s="21" t="n">
        <f aca="false">SUM(D11:D13)</f>
        <v>24</v>
      </c>
      <c r="E14" s="21" t="n">
        <f aca="false">SUM(E11:E13)</f>
        <v>35</v>
      </c>
    </row>
    <row r="17" customFormat="false" ht="15" hidden="false" customHeight="false" outlineLevel="0" collapsed="false">
      <c r="A17" s="18" t="s">
        <v>269</v>
      </c>
    </row>
    <row r="18" customFormat="false" ht="15" hidden="false" customHeight="false" outlineLevel="0" collapsed="false">
      <c r="A18" s="7" t="s">
        <v>270</v>
      </c>
      <c r="B18" s="7" t="s">
        <v>271</v>
      </c>
      <c r="C18" s="7" t="s">
        <v>272</v>
      </c>
      <c r="D18" s="7" t="s">
        <v>273</v>
      </c>
      <c r="E18" s="7" t="s">
        <v>274</v>
      </c>
    </row>
    <row r="19" customFormat="false" ht="15" hidden="false" customHeight="false" outlineLevel="0" collapsed="false">
      <c r="A19" s="10" t="s">
        <v>275</v>
      </c>
      <c r="B19" s="11" t="n">
        <f aca="false">COUNTA('母集団_2024-2026'!$B$2:$B$36)</f>
        <v>35</v>
      </c>
      <c r="D19" s="11" t="n">
        <f aca="false">COUNTIF('母集団_2024-2026'!$I$2:$I$36,"3")</f>
        <v>24</v>
      </c>
    </row>
    <row r="20" customFormat="false" ht="15" hidden="false" customHeight="false" outlineLevel="0" collapsed="false">
      <c r="A20" s="10" t="s">
        <v>276</v>
      </c>
      <c r="B20" s="11" t="n">
        <f aca="false">COUNTIF('母集団_2024-2026'!$L$2:$L$36,"&lt;&gt;")</f>
        <v>31</v>
      </c>
      <c r="C20" s="23" t="n">
        <f aca="false">B20/$B$19</f>
        <v>0.885714285714286</v>
      </c>
      <c r="D20" s="11" t="n">
        <f aca="false">COUNTIFS('母集団_2024-2026'!$I$2:$I$36,"3",'母集団_2024-2026'!$L$2:$L$36,"&lt;&gt;")</f>
        <v>23</v>
      </c>
      <c r="E20" s="23" t="n">
        <f aca="false">D20/$D$19</f>
        <v>0.958333333333333</v>
      </c>
    </row>
    <row r="21" customFormat="false" ht="15" hidden="false" customHeight="false" outlineLevel="0" collapsed="false">
      <c r="A21" s="10" t="s">
        <v>277</v>
      </c>
      <c r="B21" s="11" t="n">
        <f aca="false">COUNTIF('母集団_2024-2026'!$N$2:$N$36,"&lt;&gt;")</f>
        <v>27</v>
      </c>
      <c r="C21" s="23" t="n">
        <f aca="false">B21/$B$19</f>
        <v>0.771428571428572</v>
      </c>
      <c r="D21" s="11" t="n">
        <f aca="false">COUNTIFS('母集団_2024-2026'!$I$2:$I$36,"3",'母集団_2024-2026'!$N$2:$N$36,"&lt;&gt;")</f>
        <v>19</v>
      </c>
      <c r="E21" s="23" t="n">
        <f aca="false">D21/$D$19</f>
        <v>0.791666666666667</v>
      </c>
    </row>
    <row r="22" customFormat="false" ht="15" hidden="false" customHeight="false" outlineLevel="0" collapsed="false">
      <c r="A22" s="10" t="s">
        <v>278</v>
      </c>
      <c r="B22" s="11" t="n">
        <f aca="false">COUNTIF('母集団_2024-2026'!$O$2:$O$36,"&lt;&gt;")</f>
        <v>24</v>
      </c>
      <c r="C22" s="23" t="n">
        <f aca="false">B22/$B$19</f>
        <v>0.685714285714286</v>
      </c>
      <c r="D22" s="11" t="n">
        <f aca="false">COUNTIFS('母集団_2024-2026'!$I$2:$I$36,"3",'母集団_2024-2026'!$O$2:$O$36,"&lt;&gt;")</f>
        <v>18</v>
      </c>
      <c r="E22" s="23" t="n">
        <f aca="false">D22/$D$19</f>
        <v>0.75</v>
      </c>
    </row>
    <row r="23" customFormat="false" ht="15" hidden="false" customHeight="false" outlineLevel="0" collapsed="false">
      <c r="A23" s="10" t="s">
        <v>279</v>
      </c>
      <c r="B23" s="11" t="n">
        <f aca="false">COUNTIF('母集団_2024-2026'!$P$2:$P$36,"&lt;&gt;")</f>
        <v>22</v>
      </c>
      <c r="C23" s="23" t="n">
        <f aca="false">B23/$B$19</f>
        <v>0.628571428571429</v>
      </c>
      <c r="D23" s="11" t="n">
        <f aca="false">COUNTIFS('母集団_2024-2026'!$I$2:$I$36,"3",'母集団_2024-2026'!$P$2:$P$36,"&lt;&gt;")</f>
        <v>17</v>
      </c>
      <c r="E23" s="23" t="n">
        <f aca="false">D23/$D$19</f>
        <v>0.708333333333333</v>
      </c>
    </row>
    <row r="24" customFormat="false" ht="15" hidden="false" customHeight="false" outlineLevel="0" collapsed="false">
      <c r="A24" s="10" t="s">
        <v>280</v>
      </c>
      <c r="B24" s="11" t="n">
        <f aca="false">COUNTIF('母集団_2024-2026'!$Q$2:$Q$36,"&lt;&gt;")</f>
        <v>13</v>
      </c>
      <c r="C24" s="23" t="n">
        <f aca="false">B24/$B$19</f>
        <v>0.371428571428571</v>
      </c>
      <c r="D24" s="11" t="n">
        <f aca="false">COUNTIFS('母集団_2024-2026'!$I$2:$I$36,"3",'母集団_2024-2026'!$Q$2:$Q$36,"&lt;&gt;")</f>
        <v>9</v>
      </c>
      <c r="E24" s="23" t="n">
        <f aca="false">D24/$D$19</f>
        <v>0.375</v>
      </c>
    </row>
    <row r="25" customFormat="false" ht="15" hidden="false" customHeight="false" outlineLevel="0" collapsed="false">
      <c r="A25" s="10" t="s">
        <v>281</v>
      </c>
      <c r="B25" s="11" t="n">
        <f aca="false">COUNTIF('母集団_2024-2026'!$R$2:$R$36,"&lt;&gt;")</f>
        <v>11</v>
      </c>
      <c r="C25" s="23" t="n">
        <f aca="false">B25/$B$19</f>
        <v>0.314285714285714</v>
      </c>
      <c r="D25" s="11" t="n">
        <f aca="false">COUNTIFS('母集団_2024-2026'!$I$2:$I$36,"3",'母集団_2024-2026'!$R$2:$R$36,"&lt;&gt;")</f>
        <v>8</v>
      </c>
      <c r="E25" s="23" t="n">
        <f aca="false">D25/$D$19</f>
        <v>0.333333333333333</v>
      </c>
    </row>
    <row r="26" customFormat="false" ht="15" hidden="false" customHeight="false" outlineLevel="0" collapsed="false">
      <c r="A26" s="24" t="s">
        <v>282</v>
      </c>
    </row>
    <row r="28" customFormat="false" ht="15" hidden="false" customHeight="false" outlineLevel="0" collapsed="false">
      <c r="A28" s="18" t="s">
        <v>283</v>
      </c>
    </row>
    <row r="29" customFormat="false" ht="15" hidden="false" customHeight="false" outlineLevel="0" collapsed="false">
      <c r="A29" s="7" t="s">
        <v>41</v>
      </c>
      <c r="B29" s="7" t="s">
        <v>284</v>
      </c>
    </row>
    <row r="30" customFormat="false" ht="15" hidden="false" customHeight="false" outlineLevel="0" collapsed="false">
      <c r="A30" s="10" t="s">
        <v>285</v>
      </c>
      <c r="B30" s="11" t="n">
        <f aca="false">COUNTIFS('母集団_2024-2026'!$I$2:$I$36,"3",'母集団_2024-2026'!$U$2:$U$36,$A30)</f>
        <v>1</v>
      </c>
    </row>
    <row r="31" customFormat="false" ht="15" hidden="false" customHeight="false" outlineLevel="0" collapsed="false">
      <c r="A31" s="10" t="s">
        <v>286</v>
      </c>
      <c r="B31" s="11" t="n">
        <f aca="false">COUNTIFS('母集団_2024-2026'!$I$2:$I$36,"3",'母集団_2024-2026'!$U$2:$U$36,$A31)</f>
        <v>5</v>
      </c>
    </row>
    <row r="32" customFormat="false" ht="15" hidden="false" customHeight="false" outlineLevel="0" collapsed="false">
      <c r="A32" s="10" t="s">
        <v>287</v>
      </c>
      <c r="B32" s="11" t="n">
        <f aca="false">COUNTIFS('母集団_2024-2026'!$I$2:$I$36,"3",'母集団_2024-2026'!$U$2:$U$36,$A32)</f>
        <v>7</v>
      </c>
    </row>
    <row r="33" customFormat="false" ht="15" hidden="false" customHeight="false" outlineLevel="0" collapsed="false">
      <c r="A33" s="10" t="s">
        <v>288</v>
      </c>
      <c r="B33" s="11" t="n">
        <f aca="false">COUNTIFS('母集団_2024-2026'!$I$2:$I$36,"3",'母集団_2024-2026'!$U$2:$U$36,$A33)</f>
        <v>2</v>
      </c>
    </row>
    <row r="34" customFormat="false" ht="15" hidden="false" customHeight="false" outlineLevel="0" collapsed="false">
      <c r="A34" s="10" t="s">
        <v>289</v>
      </c>
      <c r="B34" s="11" t="n">
        <f aca="false">COUNTIFS('母集団_2024-2026'!$I$2:$I$36,"3",'母集団_2024-2026'!$U$2:$U$36,$A34)</f>
        <v>9</v>
      </c>
    </row>
    <row r="36" customFormat="false" ht="15" hidden="false" customHeight="false" outlineLevel="0" collapsed="false">
      <c r="A36" s="18" t="s">
        <v>290</v>
      </c>
    </row>
    <row r="37" customFormat="false" ht="15" hidden="false" customHeight="false" outlineLevel="0" collapsed="false">
      <c r="A37" s="7" t="s">
        <v>22</v>
      </c>
      <c r="B37" s="7" t="s">
        <v>291</v>
      </c>
      <c r="C37" s="7" t="s">
        <v>292</v>
      </c>
    </row>
    <row r="38" customFormat="false" ht="26.85" hidden="false" customHeight="false" outlineLevel="0" collapsed="false">
      <c r="A38" s="8" t="s">
        <v>68</v>
      </c>
      <c r="B38" s="10" t="s">
        <v>293</v>
      </c>
      <c r="C38" s="25" t="n">
        <v>5292692</v>
      </c>
    </row>
    <row r="39" customFormat="false" ht="15" hidden="false" customHeight="false" outlineLevel="0" collapsed="false">
      <c r="A39" s="8" t="s">
        <v>96</v>
      </c>
      <c r="B39" s="10" t="s">
        <v>97</v>
      </c>
      <c r="C39" s="25" t="n">
        <v>831449</v>
      </c>
    </row>
    <row r="40" customFormat="false" ht="15" hidden="false" customHeight="false" outlineLevel="0" collapsed="false">
      <c r="A40" s="8" t="s">
        <v>116</v>
      </c>
      <c r="B40" s="10" t="s">
        <v>117</v>
      </c>
      <c r="C40" s="25" t="n">
        <v>804100</v>
      </c>
    </row>
    <row r="41" customFormat="false" ht="26.85" hidden="false" customHeight="false" outlineLevel="0" collapsed="false">
      <c r="A41" s="8" t="s">
        <v>170</v>
      </c>
      <c r="B41" s="10" t="s">
        <v>294</v>
      </c>
      <c r="C41" s="25" t="n">
        <v>2237268</v>
      </c>
    </row>
    <row r="42" customFormat="false" ht="26.85" hidden="false" customHeight="false" outlineLevel="0" collapsed="false">
      <c r="A42" s="8" t="s">
        <v>181</v>
      </c>
      <c r="B42" s="10" t="s">
        <v>295</v>
      </c>
      <c r="C42" s="25" t="n">
        <v>1532540</v>
      </c>
    </row>
    <row r="43" customFormat="false" ht="26.85" hidden="false" customHeight="false" outlineLevel="0" collapsed="false">
      <c r="A43" s="8" t="s">
        <v>194</v>
      </c>
      <c r="B43" s="10" t="s">
        <v>296</v>
      </c>
      <c r="C43" s="25" t="n">
        <v>956111</v>
      </c>
    </row>
    <row r="44" customFormat="false" ht="26.85" hidden="false" customHeight="false" outlineLevel="0" collapsed="false">
      <c r="A44" s="8" t="s">
        <v>242</v>
      </c>
      <c r="B44" s="10" t="s">
        <v>297</v>
      </c>
      <c r="C44" s="25" t="n">
        <v>2970274</v>
      </c>
    </row>
    <row r="45" customFormat="false" ht="15" hidden="false" customHeight="false" outlineLevel="0" collapsed="false">
      <c r="B45" s="14" t="s">
        <v>265</v>
      </c>
      <c r="C45" s="26" t="n">
        <f aca="false">SUM(C38:C44)</f>
        <v>14624434</v>
      </c>
    </row>
    <row r="46" customFormat="false" ht="15" hidden="false" customHeight="false" outlineLevel="0" collapsed="false">
      <c r="A46" s="24" t="s">
        <v>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6"/>
    <col collapsed="false" customWidth="true" hidden="false" outlineLevel="0" max="3" min="3" style="0" width="70"/>
    <col collapsed="false" customWidth="true" hidden="false" outlineLevel="0" max="4" min="4" style="0" width="60"/>
  </cols>
  <sheetData>
    <row r="1" customFormat="false" ht="15" hidden="false" customHeight="false" outlineLevel="0" collapsed="false">
      <c r="A1" s="7" t="s">
        <v>299</v>
      </c>
      <c r="B1" s="7" t="s">
        <v>300</v>
      </c>
      <c r="C1" s="7" t="s">
        <v>301</v>
      </c>
      <c r="D1" s="7" t="s">
        <v>302</v>
      </c>
    </row>
    <row r="2" customFormat="false" ht="129.75" hidden="false" customHeight="true" outlineLevel="0" collapsed="false">
      <c r="A2" s="10" t="s">
        <v>303</v>
      </c>
      <c r="B2" s="8" t="s">
        <v>304</v>
      </c>
      <c r="C2" s="8" t="s">
        <v>305</v>
      </c>
      <c r="D2" s="8" t="s">
        <v>306</v>
      </c>
    </row>
    <row r="3" customFormat="false" ht="129.75" hidden="false" customHeight="true" outlineLevel="0" collapsed="false">
      <c r="A3" s="10" t="s">
        <v>307</v>
      </c>
      <c r="B3" s="8" t="s">
        <v>308</v>
      </c>
      <c r="C3" s="8" t="s">
        <v>309</v>
      </c>
      <c r="D3" s="10" t="s">
        <v>310</v>
      </c>
    </row>
    <row r="4" customFormat="false" ht="129.75" hidden="false" customHeight="true" outlineLevel="0" collapsed="false">
      <c r="A4" s="10" t="s">
        <v>311</v>
      </c>
      <c r="B4" s="8" t="s">
        <v>312</v>
      </c>
      <c r="C4" s="8" t="s">
        <v>313</v>
      </c>
      <c r="D4" s="8" t="s">
        <v>314</v>
      </c>
    </row>
    <row r="5" customFormat="false" ht="129.75" hidden="false" customHeight="true" outlineLevel="0" collapsed="false">
      <c r="A5" s="10" t="s">
        <v>315</v>
      </c>
      <c r="B5" s="8" t="s">
        <v>316</v>
      </c>
      <c r="C5" s="8" t="s">
        <v>317</v>
      </c>
      <c r="D5" s="8" t="s">
        <v>318</v>
      </c>
    </row>
    <row r="6" customFormat="false" ht="129.75" hidden="false" customHeight="true" outlineLevel="0" collapsed="false">
      <c r="A6" s="10" t="s">
        <v>319</v>
      </c>
      <c r="B6" s="8" t="s">
        <v>320</v>
      </c>
      <c r="C6" s="8" t="s">
        <v>321</v>
      </c>
      <c r="D6" s="10" t="s">
        <v>322</v>
      </c>
    </row>
    <row r="7" customFormat="false" ht="129.75" hidden="false" customHeight="true" outlineLevel="0" collapsed="false">
      <c r="A7" s="10" t="s">
        <v>323</v>
      </c>
      <c r="B7" s="8" t="s">
        <v>324</v>
      </c>
      <c r="C7" s="10" t="s">
        <v>325</v>
      </c>
      <c r="D7" s="10" t="s">
        <v>326</v>
      </c>
    </row>
    <row r="8" customFormat="false" ht="129.75" hidden="false" customHeight="true" outlineLevel="0" collapsed="false">
      <c r="A8" s="10" t="s">
        <v>94</v>
      </c>
      <c r="B8" s="8" t="s">
        <v>327</v>
      </c>
      <c r="C8" s="10" t="s">
        <v>328</v>
      </c>
      <c r="D8" s="10"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4"/>
    <col collapsed="false" customWidth="true" hidden="false" outlineLevel="0" max="4" min="4" style="0" width="70"/>
    <col collapsed="false" customWidth="true" hidden="false" outlineLevel="0" max="5" min="5" style="0" width="30"/>
    <col collapsed="false" customWidth="true" hidden="false" outlineLevel="0" max="6" min="6" style="0" width="10"/>
    <col collapsed="false" customWidth="true" hidden="false" outlineLevel="0" max="7" min="7" style="0" width="40"/>
  </cols>
  <sheetData>
    <row r="1" customFormat="false" ht="26.85" hidden="false" customHeight="false" outlineLevel="0" collapsed="false">
      <c r="A1" s="7" t="s">
        <v>330</v>
      </c>
      <c r="B1" s="7" t="s">
        <v>331</v>
      </c>
      <c r="C1" s="7" t="s">
        <v>332</v>
      </c>
      <c r="D1" s="7" t="s">
        <v>333</v>
      </c>
      <c r="E1" s="7" t="s">
        <v>334</v>
      </c>
      <c r="F1" s="7" t="s">
        <v>335</v>
      </c>
      <c r="G1" s="7" t="s">
        <v>336</v>
      </c>
    </row>
    <row r="2" customFormat="false" ht="60" hidden="false" customHeight="true" outlineLevel="0" collapsed="false">
      <c r="A2" s="27" t="s">
        <v>337</v>
      </c>
      <c r="B2" s="8" t="s">
        <v>338</v>
      </c>
      <c r="C2" s="27" t="s">
        <v>339</v>
      </c>
      <c r="D2" s="10" t="s">
        <v>340</v>
      </c>
      <c r="E2" s="13"/>
      <c r="F2" s="13"/>
      <c r="G2" s="13"/>
    </row>
    <row r="3" customFormat="false" ht="60" hidden="false" customHeight="true" outlineLevel="0" collapsed="false">
      <c r="A3" s="14"/>
      <c r="B3" s="10"/>
      <c r="C3" s="27" t="s">
        <v>341</v>
      </c>
      <c r="D3" s="10" t="s">
        <v>342</v>
      </c>
      <c r="E3" s="13"/>
      <c r="F3" s="13"/>
      <c r="G3" s="13"/>
    </row>
    <row r="4" customFormat="false" ht="60" hidden="false" customHeight="true" outlineLevel="0" collapsed="false">
      <c r="A4" s="14"/>
      <c r="B4" s="10"/>
      <c r="C4" s="27" t="s">
        <v>343</v>
      </c>
      <c r="D4" s="8" t="s">
        <v>344</v>
      </c>
      <c r="E4" s="13"/>
      <c r="F4" s="13"/>
      <c r="G4" s="13"/>
    </row>
    <row r="5" customFormat="false" ht="60" hidden="false" customHeight="true" outlineLevel="0" collapsed="false">
      <c r="A5" s="14"/>
      <c r="B5" s="10"/>
      <c r="C5" s="27" t="s">
        <v>345</v>
      </c>
      <c r="D5" s="8" t="s">
        <v>346</v>
      </c>
      <c r="E5" s="13"/>
      <c r="F5" s="13"/>
      <c r="G5" s="13"/>
    </row>
    <row r="6" customFormat="false" ht="26.85" hidden="false" customHeight="false" outlineLevel="0" collapsed="false">
      <c r="C6" s="14" t="s">
        <v>347</v>
      </c>
      <c r="D6" s="10" t="s">
        <v>348</v>
      </c>
      <c r="E6" s="13"/>
      <c r="F6" s="13"/>
      <c r="G6" s="13"/>
    </row>
    <row r="8" customFormat="false" ht="60" hidden="false" customHeight="true" outlineLevel="0" collapsed="false">
      <c r="A8" s="27" t="s">
        <v>349</v>
      </c>
      <c r="B8" s="8" t="s">
        <v>350</v>
      </c>
      <c r="C8" s="27" t="s">
        <v>339</v>
      </c>
      <c r="D8" s="8" t="s">
        <v>351</v>
      </c>
      <c r="E8" s="13"/>
      <c r="F8" s="13"/>
      <c r="G8" s="13"/>
    </row>
    <row r="9" customFormat="false" ht="60" hidden="false" customHeight="true" outlineLevel="0" collapsed="false">
      <c r="A9" s="14"/>
      <c r="B9" s="10"/>
      <c r="C9" s="27" t="s">
        <v>341</v>
      </c>
      <c r="D9" s="10" t="s">
        <v>352</v>
      </c>
      <c r="E9" s="13"/>
      <c r="F9" s="13"/>
      <c r="G9" s="13"/>
    </row>
    <row r="10" customFormat="false" ht="60" hidden="false" customHeight="true" outlineLevel="0" collapsed="false">
      <c r="A10" s="14"/>
      <c r="B10" s="10"/>
      <c r="C10" s="27" t="s">
        <v>343</v>
      </c>
      <c r="D10" s="8" t="s">
        <v>353</v>
      </c>
      <c r="E10" s="13"/>
      <c r="F10" s="13"/>
      <c r="G10" s="13"/>
    </row>
    <row r="11" customFormat="false" ht="60" hidden="false" customHeight="true" outlineLevel="0" collapsed="false">
      <c r="A11" s="14"/>
      <c r="B11" s="10"/>
      <c r="C11" s="27" t="s">
        <v>345</v>
      </c>
      <c r="D11" s="8" t="s">
        <v>354</v>
      </c>
      <c r="E11" s="13"/>
      <c r="F11" s="13"/>
      <c r="G11" s="13"/>
    </row>
    <row r="12" customFormat="false" ht="26.85" hidden="false" customHeight="false" outlineLevel="0" collapsed="false">
      <c r="C12" s="14" t="s">
        <v>347</v>
      </c>
      <c r="D12" s="10" t="s">
        <v>348</v>
      </c>
      <c r="E12" s="13"/>
      <c r="F12" s="13"/>
      <c r="G12" s="13"/>
    </row>
    <row r="14" customFormat="false" ht="60" hidden="false" customHeight="true" outlineLevel="0" collapsed="false">
      <c r="A14" s="27" t="s">
        <v>355</v>
      </c>
      <c r="B14" s="8" t="s">
        <v>356</v>
      </c>
      <c r="C14" s="27" t="s">
        <v>339</v>
      </c>
      <c r="D14" s="8" t="s">
        <v>357</v>
      </c>
      <c r="E14" s="13"/>
      <c r="F14" s="13"/>
      <c r="G14" s="13"/>
    </row>
    <row r="15" customFormat="false" ht="60" hidden="false" customHeight="true" outlineLevel="0" collapsed="false">
      <c r="A15" s="14"/>
      <c r="B15" s="10"/>
      <c r="C15" s="27" t="s">
        <v>341</v>
      </c>
      <c r="D15" s="8" t="s">
        <v>358</v>
      </c>
      <c r="E15" s="13"/>
      <c r="F15" s="13"/>
      <c r="G15" s="13"/>
    </row>
    <row r="16" customFormat="false" ht="60" hidden="false" customHeight="true" outlineLevel="0" collapsed="false">
      <c r="A16" s="14"/>
      <c r="B16" s="10"/>
      <c r="C16" s="27" t="s">
        <v>343</v>
      </c>
      <c r="D16" s="8" t="s">
        <v>359</v>
      </c>
      <c r="E16" s="13"/>
      <c r="F16" s="13"/>
      <c r="G16" s="13"/>
    </row>
    <row r="17" customFormat="false" ht="60" hidden="false" customHeight="true" outlineLevel="0" collapsed="false">
      <c r="A17" s="14"/>
      <c r="B17" s="10"/>
      <c r="C17" s="27" t="s">
        <v>345</v>
      </c>
      <c r="D17" s="8" t="s">
        <v>360</v>
      </c>
      <c r="E17" s="13"/>
      <c r="F17" s="13"/>
      <c r="G17" s="13"/>
    </row>
    <row r="18" customFormat="false" ht="26.85" hidden="false" customHeight="false" outlineLevel="0" collapsed="false">
      <c r="C18" s="14" t="s">
        <v>347</v>
      </c>
      <c r="D18" s="10" t="s">
        <v>348</v>
      </c>
      <c r="E18" s="13"/>
      <c r="F18" s="13"/>
      <c r="G18" s="13"/>
    </row>
    <row r="20" customFormat="false" ht="60" hidden="false" customHeight="true" outlineLevel="0" collapsed="false">
      <c r="A20" s="27" t="s">
        <v>361</v>
      </c>
      <c r="B20" s="8" t="s">
        <v>362</v>
      </c>
      <c r="C20" s="27" t="s">
        <v>339</v>
      </c>
      <c r="D20" s="10" t="s">
        <v>363</v>
      </c>
      <c r="E20" s="13"/>
      <c r="F20" s="13"/>
      <c r="G20" s="13"/>
    </row>
    <row r="21" customFormat="false" ht="60" hidden="false" customHeight="true" outlineLevel="0" collapsed="false">
      <c r="A21" s="14"/>
      <c r="B21" s="10"/>
      <c r="C21" s="27" t="s">
        <v>341</v>
      </c>
      <c r="D21" s="10" t="s">
        <v>364</v>
      </c>
      <c r="E21" s="13"/>
      <c r="F21" s="13"/>
      <c r="G21" s="13"/>
    </row>
    <row r="22" customFormat="false" ht="60" hidden="false" customHeight="true" outlineLevel="0" collapsed="false">
      <c r="A22" s="14"/>
      <c r="B22" s="10"/>
      <c r="C22" s="27" t="s">
        <v>343</v>
      </c>
      <c r="D22" s="8" t="s">
        <v>365</v>
      </c>
      <c r="E22" s="13"/>
      <c r="F22" s="13"/>
      <c r="G22" s="13"/>
    </row>
    <row r="23" customFormat="false" ht="60" hidden="false" customHeight="true" outlineLevel="0" collapsed="false">
      <c r="A23" s="14"/>
      <c r="B23" s="10"/>
      <c r="C23" s="27" t="s">
        <v>345</v>
      </c>
      <c r="D23" s="10" t="s">
        <v>366</v>
      </c>
      <c r="E23" s="13"/>
      <c r="F23" s="13"/>
      <c r="G23" s="13"/>
    </row>
    <row r="24" customFormat="false" ht="26.85" hidden="false" customHeight="false" outlineLevel="0" collapsed="false">
      <c r="C24" s="14" t="s">
        <v>347</v>
      </c>
      <c r="D24" s="10" t="s">
        <v>348</v>
      </c>
      <c r="E24" s="13"/>
      <c r="F24" s="13"/>
      <c r="G24" s="13"/>
    </row>
    <row r="26" customFormat="false" ht="60" hidden="false" customHeight="true" outlineLevel="0" collapsed="false">
      <c r="A26" s="27" t="s">
        <v>367</v>
      </c>
      <c r="B26" s="8" t="s">
        <v>368</v>
      </c>
      <c r="C26" s="27" t="s">
        <v>339</v>
      </c>
      <c r="D26" s="8" t="s">
        <v>369</v>
      </c>
      <c r="E26" s="13"/>
      <c r="F26" s="13"/>
      <c r="G26" s="13"/>
    </row>
    <row r="27" customFormat="false" ht="60" hidden="false" customHeight="true" outlineLevel="0" collapsed="false">
      <c r="A27" s="14"/>
      <c r="B27" s="10"/>
      <c r="C27" s="27" t="s">
        <v>341</v>
      </c>
      <c r="D27" s="10" t="s">
        <v>370</v>
      </c>
      <c r="E27" s="13"/>
      <c r="F27" s="13"/>
      <c r="G27" s="13"/>
    </row>
    <row r="28" customFormat="false" ht="60" hidden="false" customHeight="true" outlineLevel="0" collapsed="false">
      <c r="A28" s="14"/>
      <c r="B28" s="10"/>
      <c r="C28" s="27" t="s">
        <v>343</v>
      </c>
      <c r="D28" s="10" t="s">
        <v>371</v>
      </c>
      <c r="E28" s="13"/>
      <c r="F28" s="13"/>
      <c r="G28" s="13"/>
    </row>
    <row r="29" customFormat="false" ht="60" hidden="false" customHeight="true" outlineLevel="0" collapsed="false">
      <c r="A29" s="14"/>
      <c r="B29" s="10"/>
      <c r="C29" s="27" t="s">
        <v>345</v>
      </c>
      <c r="D29" s="8" t="s">
        <v>372</v>
      </c>
      <c r="E29" s="13"/>
      <c r="F29" s="13"/>
      <c r="G29" s="13"/>
    </row>
    <row r="30" customFormat="false" ht="26.85" hidden="false" customHeight="false" outlineLevel="0" collapsed="false">
      <c r="C30" s="14" t="s">
        <v>347</v>
      </c>
      <c r="D30" s="10" t="s">
        <v>348</v>
      </c>
      <c r="E30" s="13"/>
      <c r="F30" s="13"/>
      <c r="G30" s="13"/>
    </row>
    <row r="32" customFormat="false" ht="60" hidden="false" customHeight="true" outlineLevel="0" collapsed="false">
      <c r="A32" s="27" t="s">
        <v>373</v>
      </c>
      <c r="B32" s="8" t="s">
        <v>374</v>
      </c>
      <c r="C32" s="27" t="s">
        <v>339</v>
      </c>
      <c r="D32" s="8" t="s">
        <v>375</v>
      </c>
      <c r="E32" s="13"/>
      <c r="F32" s="13"/>
      <c r="G32" s="13"/>
    </row>
    <row r="33" customFormat="false" ht="60" hidden="false" customHeight="true" outlineLevel="0" collapsed="false">
      <c r="A33" s="14"/>
      <c r="B33" s="10"/>
      <c r="C33" s="27" t="s">
        <v>341</v>
      </c>
      <c r="D33" s="10" t="s">
        <v>376</v>
      </c>
      <c r="E33" s="13"/>
      <c r="F33" s="13"/>
      <c r="G33" s="13"/>
    </row>
    <row r="34" customFormat="false" ht="60" hidden="false" customHeight="true" outlineLevel="0" collapsed="false">
      <c r="A34" s="14"/>
      <c r="B34" s="10"/>
      <c r="C34" s="27" t="s">
        <v>343</v>
      </c>
      <c r="D34" s="10" t="s">
        <v>377</v>
      </c>
      <c r="E34" s="13"/>
      <c r="F34" s="13"/>
      <c r="G34" s="13"/>
    </row>
    <row r="35" customFormat="false" ht="60" hidden="false" customHeight="true" outlineLevel="0" collapsed="false">
      <c r="A35" s="14"/>
      <c r="B35" s="10"/>
      <c r="C35" s="27" t="s">
        <v>345</v>
      </c>
      <c r="D35" s="8" t="s">
        <v>378</v>
      </c>
      <c r="E35" s="13"/>
      <c r="F35" s="13"/>
      <c r="G35" s="13"/>
    </row>
    <row r="36" customFormat="false" ht="26.85" hidden="false" customHeight="false" outlineLevel="0" collapsed="false">
      <c r="C36" s="14" t="s">
        <v>347</v>
      </c>
      <c r="D36" s="10" t="s">
        <v>348</v>
      </c>
      <c r="E36" s="13"/>
      <c r="F36" s="13"/>
      <c r="G36"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30"/>
    <col collapsed="false" customWidth="true" hidden="false" outlineLevel="0" max="5" min="5" style="0" width="40"/>
  </cols>
  <sheetData>
    <row r="1" customFormat="false" ht="15" hidden="false" customHeight="false" outlineLevel="0" collapsed="false">
      <c r="A1" s="6" t="s">
        <v>379</v>
      </c>
      <c r="B1" s="7" t="s">
        <v>380</v>
      </c>
      <c r="C1" s="7" t="s">
        <v>381</v>
      </c>
      <c r="D1" s="7" t="s">
        <v>382</v>
      </c>
      <c r="E1" s="7" t="s">
        <v>383</v>
      </c>
    </row>
    <row r="2" customFormat="false" ht="39.75" hidden="false" customHeight="true" outlineLevel="0" collapsed="false">
      <c r="A2" s="19" t="n">
        <v>1</v>
      </c>
      <c r="B2" s="19" t="s">
        <v>337</v>
      </c>
      <c r="C2" s="10" t="s">
        <v>384</v>
      </c>
      <c r="D2" s="10" t="s">
        <v>385</v>
      </c>
      <c r="E2" s="8" t="s">
        <v>386</v>
      </c>
    </row>
    <row r="3" customFormat="false" ht="39.75" hidden="false" customHeight="true" outlineLevel="0" collapsed="false">
      <c r="A3" s="19" t="n">
        <v>2</v>
      </c>
      <c r="B3" s="19" t="s">
        <v>337</v>
      </c>
      <c r="C3" s="10" t="s">
        <v>387</v>
      </c>
      <c r="D3" s="8" t="s">
        <v>388</v>
      </c>
      <c r="E3" s="10" t="s">
        <v>389</v>
      </c>
    </row>
    <row r="4" customFormat="false" ht="39.75" hidden="false" customHeight="true" outlineLevel="0" collapsed="false">
      <c r="A4" s="19" t="n">
        <v>3</v>
      </c>
      <c r="B4" s="19" t="s">
        <v>337</v>
      </c>
      <c r="C4" s="10" t="s">
        <v>390</v>
      </c>
      <c r="D4" s="10" t="s">
        <v>391</v>
      </c>
      <c r="E4" s="10" t="s">
        <v>392</v>
      </c>
    </row>
    <row r="5" customFormat="false" ht="39.75" hidden="false" customHeight="true" outlineLevel="0" collapsed="false">
      <c r="A5" s="19" t="n">
        <v>4</v>
      </c>
      <c r="B5" s="19" t="s">
        <v>349</v>
      </c>
      <c r="C5" s="10" t="s">
        <v>393</v>
      </c>
      <c r="D5" s="10" t="s">
        <v>394</v>
      </c>
      <c r="E5" s="10" t="s">
        <v>395</v>
      </c>
    </row>
    <row r="6" customFormat="false" ht="39.75" hidden="false" customHeight="true" outlineLevel="0" collapsed="false">
      <c r="A6" s="19" t="n">
        <v>5</v>
      </c>
      <c r="B6" s="19" t="s">
        <v>349</v>
      </c>
      <c r="C6" s="10" t="s">
        <v>396</v>
      </c>
      <c r="D6" s="10" t="s">
        <v>397</v>
      </c>
      <c r="E6" s="8" t="s">
        <v>398</v>
      </c>
    </row>
    <row r="7" customFormat="false" ht="39.75" hidden="false" customHeight="true" outlineLevel="0" collapsed="false">
      <c r="A7" s="19" t="n">
        <v>6</v>
      </c>
      <c r="B7" s="19" t="s">
        <v>355</v>
      </c>
      <c r="C7" s="10" t="s">
        <v>399</v>
      </c>
      <c r="D7" s="10" t="s">
        <v>400</v>
      </c>
      <c r="E7" s="10" t="s">
        <v>401</v>
      </c>
    </row>
    <row r="8" customFormat="false" ht="39.75" hidden="false" customHeight="true" outlineLevel="0" collapsed="false">
      <c r="A8" s="19" t="n">
        <v>7</v>
      </c>
      <c r="B8" s="19" t="s">
        <v>355</v>
      </c>
      <c r="C8" s="10" t="s">
        <v>402</v>
      </c>
      <c r="D8" s="10" t="s">
        <v>403</v>
      </c>
      <c r="E8" s="10" t="s">
        <v>404</v>
      </c>
    </row>
    <row r="9" customFormat="false" ht="39.75" hidden="false" customHeight="true" outlineLevel="0" collapsed="false">
      <c r="A9" s="19" t="n">
        <v>8</v>
      </c>
      <c r="B9" s="19" t="s">
        <v>361</v>
      </c>
      <c r="C9" s="10" t="s">
        <v>405</v>
      </c>
      <c r="D9" s="10" t="s">
        <v>391</v>
      </c>
      <c r="E9" s="10" t="s">
        <v>406</v>
      </c>
    </row>
    <row r="10" customFormat="false" ht="39.75" hidden="false" customHeight="true" outlineLevel="0" collapsed="false">
      <c r="A10" s="19" t="n">
        <v>9</v>
      </c>
      <c r="B10" s="19" t="s">
        <v>361</v>
      </c>
      <c r="C10" s="10" t="s">
        <v>407</v>
      </c>
      <c r="D10" s="10" t="s">
        <v>408</v>
      </c>
      <c r="E10" s="10" t="s">
        <v>409</v>
      </c>
    </row>
    <row r="11" customFormat="false" ht="39.75" hidden="false" customHeight="true" outlineLevel="0" collapsed="false">
      <c r="A11" s="19" t="n">
        <v>10</v>
      </c>
      <c r="B11" s="19" t="s">
        <v>367</v>
      </c>
      <c r="C11" s="10" t="s">
        <v>410</v>
      </c>
      <c r="D11" s="10" t="s">
        <v>411</v>
      </c>
      <c r="E11" s="10" t="s">
        <v>412</v>
      </c>
    </row>
    <row r="12" customFormat="false" ht="39.75" hidden="false" customHeight="true" outlineLevel="0" collapsed="false">
      <c r="A12" s="19" t="n">
        <v>11</v>
      </c>
      <c r="B12" s="19" t="s">
        <v>367</v>
      </c>
      <c r="C12" s="10" t="s">
        <v>413</v>
      </c>
      <c r="D12" s="10" t="s">
        <v>414</v>
      </c>
      <c r="E12" s="10" t="s">
        <v>415</v>
      </c>
    </row>
    <row r="13" customFormat="false" ht="39.75" hidden="false" customHeight="true" outlineLevel="0" collapsed="false">
      <c r="A13" s="19" t="n">
        <v>12</v>
      </c>
      <c r="B13" s="19" t="s">
        <v>373</v>
      </c>
      <c r="C13" s="10" t="s">
        <v>416</v>
      </c>
      <c r="D13" s="10" t="s">
        <v>417</v>
      </c>
      <c r="E13" s="10" t="s">
        <v>418</v>
      </c>
    </row>
    <row r="14" customFormat="false" ht="39.75" hidden="false" customHeight="true" outlineLevel="0" collapsed="false">
      <c r="A14" s="19" t="n">
        <v>13</v>
      </c>
      <c r="B14" s="28" t="s">
        <v>419</v>
      </c>
      <c r="C14" s="10" t="s">
        <v>420</v>
      </c>
      <c r="D14" s="10" t="s">
        <v>414</v>
      </c>
      <c r="E14" s="10" t="s">
        <v>421</v>
      </c>
    </row>
    <row r="15" customFormat="false" ht="39.75" hidden="false" customHeight="true" outlineLevel="0" collapsed="false">
      <c r="A15" s="28" t="n">
        <v>14</v>
      </c>
      <c r="B15" s="28" t="s">
        <v>419</v>
      </c>
      <c r="C15" s="10" t="s">
        <v>422</v>
      </c>
      <c r="D15" s="10" t="s">
        <v>423</v>
      </c>
      <c r="E15" s="8" t="s">
        <v>424</v>
      </c>
    </row>
    <row r="16" customFormat="false" ht="39.75" hidden="false" customHeight="true" outlineLevel="0" collapsed="false">
      <c r="A16" s="28" t="n">
        <v>15</v>
      </c>
      <c r="B16" s="28" t="s">
        <v>419</v>
      </c>
      <c r="C16" s="8" t="s">
        <v>425</v>
      </c>
      <c r="D16" s="10" t="s">
        <v>391</v>
      </c>
      <c r="E16" s="10"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4" min="3" style="0" width="40"/>
    <col collapsed="false" customWidth="true" hidden="false" outlineLevel="0" max="5" min="5" style="0" width="24"/>
    <col collapsed="false" customWidth="true" hidden="false" outlineLevel="0" max="6" min="6" style="0" width="60"/>
  </cols>
  <sheetData>
    <row r="1" customFormat="false" ht="23.85" hidden="false" customHeight="false" outlineLevel="0" collapsed="false">
      <c r="A1" s="6" t="s">
        <v>427</v>
      </c>
      <c r="B1" s="7" t="s">
        <v>428</v>
      </c>
      <c r="C1" s="7" t="s">
        <v>429</v>
      </c>
      <c r="D1" s="7" t="s">
        <v>430</v>
      </c>
      <c r="E1" s="7" t="s">
        <v>431</v>
      </c>
      <c r="F1" s="7" t="s">
        <v>432</v>
      </c>
    </row>
    <row r="2" customFormat="false" ht="54.75" hidden="false" customHeight="true" outlineLevel="0" collapsed="false">
      <c r="A2" s="8" t="s">
        <v>51</v>
      </c>
      <c r="B2" s="10" t="s">
        <v>433</v>
      </c>
      <c r="C2" s="10" t="s">
        <v>434</v>
      </c>
      <c r="D2" s="10" t="s">
        <v>435</v>
      </c>
      <c r="E2" s="10" t="s">
        <v>419</v>
      </c>
      <c r="F2" s="10" t="s">
        <v>436</v>
      </c>
    </row>
    <row r="3" customFormat="false" ht="54.75" hidden="false" customHeight="true" outlineLevel="0" collapsed="false">
      <c r="A3" s="8" t="s">
        <v>437</v>
      </c>
      <c r="B3" s="10" t="s">
        <v>438</v>
      </c>
      <c r="C3" s="10" t="s">
        <v>439</v>
      </c>
      <c r="D3" s="10" t="s">
        <v>440</v>
      </c>
      <c r="E3" s="8" t="s">
        <v>441</v>
      </c>
      <c r="F3" s="10" t="s">
        <v>442</v>
      </c>
    </row>
    <row r="4" customFormat="false" ht="54.75" hidden="false" customHeight="true" outlineLevel="0" collapsed="false">
      <c r="A4" s="8" t="s">
        <v>443</v>
      </c>
      <c r="B4" s="10" t="s">
        <v>444</v>
      </c>
      <c r="C4" s="10" t="s">
        <v>445</v>
      </c>
      <c r="D4" s="10" t="s">
        <v>446</v>
      </c>
      <c r="E4" s="8" t="s">
        <v>447</v>
      </c>
      <c r="F4" s="10" t="s">
        <v>448</v>
      </c>
    </row>
    <row r="5" customFormat="false" ht="54.75" hidden="false" customHeight="true" outlineLevel="0" collapsed="false">
      <c r="A5" s="8" t="s">
        <v>449</v>
      </c>
      <c r="B5" s="10" t="s">
        <v>450</v>
      </c>
      <c r="C5" s="10" t="s">
        <v>451</v>
      </c>
      <c r="D5" s="10" t="s">
        <v>452</v>
      </c>
      <c r="E5" s="8" t="s">
        <v>453</v>
      </c>
      <c r="F5" s="8" t="s">
        <v>454</v>
      </c>
    </row>
    <row r="6" customFormat="false" ht="54.75" hidden="false" customHeight="true" outlineLevel="0" collapsed="false">
      <c r="A6" s="8" t="s">
        <v>455</v>
      </c>
      <c r="B6" s="10" t="s">
        <v>456</v>
      </c>
      <c r="C6" s="10" t="s">
        <v>457</v>
      </c>
      <c r="D6" s="10" t="s">
        <v>458</v>
      </c>
      <c r="E6" s="8" t="s">
        <v>459</v>
      </c>
      <c r="F6" s="10" t="s">
        <v>460</v>
      </c>
    </row>
    <row r="7" customFormat="false" ht="54.75" hidden="false" customHeight="true" outlineLevel="0" collapsed="false">
      <c r="A7" s="8" t="s">
        <v>461</v>
      </c>
      <c r="B7" s="10" t="s">
        <v>462</v>
      </c>
      <c r="C7" s="10" t="s">
        <v>463</v>
      </c>
      <c r="D7" s="10" t="s">
        <v>464</v>
      </c>
      <c r="E7" s="10" t="s">
        <v>419</v>
      </c>
      <c r="F7" s="10" t="s">
        <v>465</v>
      </c>
    </row>
    <row r="8" customFormat="false" ht="54.75" hidden="false" customHeight="true" outlineLevel="0" collapsed="false">
      <c r="A8" s="8" t="s">
        <v>466</v>
      </c>
      <c r="B8" s="10" t="s">
        <v>467</v>
      </c>
      <c r="C8" s="10" t="s">
        <v>468</v>
      </c>
      <c r="D8" s="10" t="s">
        <v>469</v>
      </c>
      <c r="E8" s="8" t="s">
        <v>470</v>
      </c>
      <c r="F8" s="10" t="s">
        <v>471</v>
      </c>
    </row>
    <row r="9" customFormat="false" ht="54.75" hidden="false" customHeight="true" outlineLevel="0" collapsed="false">
      <c r="A9" s="8" t="s">
        <v>472</v>
      </c>
      <c r="B9" s="10" t="s">
        <v>473</v>
      </c>
      <c r="C9" s="10" t="s">
        <v>474</v>
      </c>
      <c r="D9" s="10" t="s">
        <v>475</v>
      </c>
      <c r="E9" s="8" t="s">
        <v>476</v>
      </c>
      <c r="F9" s="10" t="s">
        <v>477</v>
      </c>
    </row>
    <row r="10" customFormat="false" ht="54.75" hidden="false" customHeight="true" outlineLevel="0" collapsed="false">
      <c r="A10" s="8" t="s">
        <v>478</v>
      </c>
      <c r="B10" s="10" t="s">
        <v>479</v>
      </c>
      <c r="C10" s="10" t="s">
        <v>480</v>
      </c>
      <c r="D10" s="10" t="s">
        <v>481</v>
      </c>
      <c r="E10" s="8" t="s">
        <v>482</v>
      </c>
      <c r="F10" s="10" t="s">
        <v>483</v>
      </c>
    </row>
    <row r="11" customFormat="false" ht="54.75" hidden="false" customHeight="true" outlineLevel="0" collapsed="false">
      <c r="A11" s="8" t="s">
        <v>484</v>
      </c>
      <c r="B11" s="10" t="s">
        <v>479</v>
      </c>
      <c r="C11" s="10" t="s">
        <v>485</v>
      </c>
      <c r="D11" s="10" t="s">
        <v>486</v>
      </c>
      <c r="E11" s="8" t="s">
        <v>487</v>
      </c>
      <c r="F11" s="10" t="s">
        <v>488</v>
      </c>
    </row>
    <row r="12" customFormat="false" ht="54.75" hidden="false" customHeight="true" outlineLevel="0" collapsed="false">
      <c r="A12" s="8" t="s">
        <v>489</v>
      </c>
      <c r="B12" s="10" t="s">
        <v>490</v>
      </c>
      <c r="C12" s="10" t="s">
        <v>491</v>
      </c>
      <c r="D12" s="10" t="s">
        <v>492</v>
      </c>
      <c r="E12" s="10" t="s">
        <v>419</v>
      </c>
      <c r="F12" s="10" t="s">
        <v>493</v>
      </c>
    </row>
    <row r="13" customFormat="false" ht="54.75" hidden="false" customHeight="true" outlineLevel="0" collapsed="false">
      <c r="A13" s="8" t="s">
        <v>494</v>
      </c>
      <c r="B13" s="10" t="s">
        <v>495</v>
      </c>
      <c r="C13" s="10" t="s">
        <v>496</v>
      </c>
      <c r="D13" s="10" t="s">
        <v>458</v>
      </c>
      <c r="E13" s="8" t="s">
        <v>497</v>
      </c>
      <c r="F13" s="10" t="s">
        <v>498</v>
      </c>
    </row>
    <row r="14" customFormat="false" ht="54.75" hidden="false" customHeight="true" outlineLevel="0" collapsed="false">
      <c r="A14" s="8" t="s">
        <v>499</v>
      </c>
      <c r="B14" s="10" t="s">
        <v>500</v>
      </c>
      <c r="C14" s="10" t="s">
        <v>501</v>
      </c>
      <c r="D14" s="10" t="s">
        <v>502</v>
      </c>
      <c r="E14" s="8" t="s">
        <v>503</v>
      </c>
      <c r="F14" s="10"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7"/>
    <col collapsed="false" customWidth="true" hidden="false" outlineLevel="0" max="5" min="4" style="0" width="11"/>
    <col collapsed="false" customWidth="true" hidden="false" outlineLevel="0" max="6" min="6" style="0" width="34"/>
    <col collapsed="false" customWidth="true" hidden="false" outlineLevel="0" max="7" min="7" style="0" width="20"/>
    <col collapsed="false" customWidth="true" hidden="false" outlineLevel="0" max="8" min="8" style="0" width="6"/>
    <col collapsed="false" customWidth="true" hidden="false" outlineLevel="0" max="9" min="9" style="0" width="20"/>
    <col collapsed="false" customWidth="true" hidden="false" outlineLevel="0" max="10" min="10" style="0" width="14"/>
    <col collapsed="false" customWidth="true" hidden="false" outlineLevel="0" max="11" min="11" style="0" width="60"/>
    <col collapsed="false" customWidth="true" hidden="false" outlineLevel="0" max="12" min="12" style="0" width="10"/>
    <col collapsed="false" customWidth="true" hidden="false" outlineLevel="0" max="15" min="13" style="0" width="12"/>
    <col collapsed="false" customWidth="true" hidden="false" outlineLevel="0" max="16" min="16" style="0" width="30"/>
  </cols>
  <sheetData>
    <row r="1" customFormat="false" ht="39.55" hidden="false" customHeight="false" outlineLevel="0" collapsed="false">
      <c r="A1" s="6" t="s">
        <v>21</v>
      </c>
      <c r="B1" s="7" t="s">
        <v>22</v>
      </c>
      <c r="C1" s="7" t="s">
        <v>23</v>
      </c>
      <c r="D1" s="7" t="s">
        <v>24</v>
      </c>
      <c r="E1" s="7" t="s">
        <v>25</v>
      </c>
      <c r="F1" s="7" t="s">
        <v>27</v>
      </c>
      <c r="G1" s="7" t="s">
        <v>28</v>
      </c>
      <c r="H1" s="7" t="s">
        <v>29</v>
      </c>
      <c r="I1" s="7" t="s">
        <v>30</v>
      </c>
      <c r="J1" s="7" t="s">
        <v>31</v>
      </c>
      <c r="K1" s="7" t="s">
        <v>32</v>
      </c>
      <c r="L1" s="7" t="s">
        <v>34</v>
      </c>
      <c r="M1" s="7" t="s">
        <v>35</v>
      </c>
      <c r="N1" s="7" t="s">
        <v>36</v>
      </c>
      <c r="O1" s="7" t="s">
        <v>37</v>
      </c>
      <c r="P1" s="7" t="s">
        <v>505</v>
      </c>
    </row>
    <row r="2" customFormat="false" ht="45" hidden="false" customHeight="true" outlineLevel="0" collapsed="false">
      <c r="A2" s="10" t="n">
        <v>1</v>
      </c>
      <c r="B2" s="8" t="s">
        <v>506</v>
      </c>
      <c r="C2" s="8" t="s">
        <v>48</v>
      </c>
      <c r="D2" s="9" t="n">
        <v>44012</v>
      </c>
      <c r="E2" s="9" t="n">
        <v>44210</v>
      </c>
      <c r="F2" s="8" t="s">
        <v>507</v>
      </c>
      <c r="G2" s="10" t="s">
        <v>508</v>
      </c>
      <c r="H2" s="8" t="s">
        <v>51</v>
      </c>
      <c r="I2" s="10" t="s">
        <v>509</v>
      </c>
      <c r="J2" s="10"/>
      <c r="K2" s="10" t="s">
        <v>510</v>
      </c>
      <c r="L2" s="8" t="s">
        <v>56</v>
      </c>
      <c r="M2" s="9" t="n">
        <v>44460</v>
      </c>
      <c r="N2" s="9" t="n">
        <v>44460</v>
      </c>
      <c r="O2" s="9" t="n">
        <v>44460</v>
      </c>
      <c r="P2" s="10"/>
    </row>
    <row r="3" customFormat="false" ht="45" hidden="false" customHeight="true" outlineLevel="0" collapsed="false">
      <c r="A3" s="10" t="n">
        <v>2</v>
      </c>
      <c r="B3" s="8" t="s">
        <v>511</v>
      </c>
      <c r="C3" s="8" t="s">
        <v>48</v>
      </c>
      <c r="D3" s="9" t="n">
        <v>44239</v>
      </c>
      <c r="E3" s="9" t="n">
        <v>44239</v>
      </c>
      <c r="F3" s="10" t="s">
        <v>512</v>
      </c>
      <c r="G3" s="10" t="s">
        <v>508</v>
      </c>
      <c r="H3" s="8" t="s">
        <v>86</v>
      </c>
      <c r="I3" s="10" t="s">
        <v>509</v>
      </c>
      <c r="J3" s="10"/>
      <c r="K3" s="10" t="s">
        <v>513</v>
      </c>
      <c r="L3" s="8" t="s">
        <v>514</v>
      </c>
      <c r="M3" s="9" t="n">
        <v>44581</v>
      </c>
      <c r="N3" s="9" t="n">
        <v>44581</v>
      </c>
      <c r="O3" s="9" t="n">
        <v>44581</v>
      </c>
      <c r="P3" s="10"/>
    </row>
    <row r="4" customFormat="false" ht="45" hidden="false" customHeight="true" outlineLevel="0" collapsed="false">
      <c r="A4" s="10" t="n">
        <v>3</v>
      </c>
      <c r="B4" s="8" t="s">
        <v>515</v>
      </c>
      <c r="C4" s="8" t="s">
        <v>48</v>
      </c>
      <c r="D4" s="9" t="n">
        <v>44265</v>
      </c>
      <c r="E4" s="9" t="n">
        <v>44265</v>
      </c>
      <c r="F4" s="10" t="s">
        <v>516</v>
      </c>
      <c r="G4" s="10" t="s">
        <v>508</v>
      </c>
      <c r="H4" s="8" t="s">
        <v>86</v>
      </c>
      <c r="I4" s="10" t="s">
        <v>517</v>
      </c>
      <c r="J4" s="10"/>
      <c r="K4" s="10" t="s">
        <v>518</v>
      </c>
      <c r="L4" s="8" t="s">
        <v>514</v>
      </c>
      <c r="M4" s="9" t="n">
        <v>44270</v>
      </c>
      <c r="N4" s="9" t="n">
        <v>44270</v>
      </c>
      <c r="O4" s="9" t="n">
        <v>44270</v>
      </c>
      <c r="P4" s="10"/>
    </row>
    <row r="5" customFormat="false" ht="45" hidden="false" customHeight="true" outlineLevel="0" collapsed="false">
      <c r="A5" s="10" t="n">
        <v>4</v>
      </c>
      <c r="B5" s="8" t="s">
        <v>519</v>
      </c>
      <c r="C5" s="8" t="s">
        <v>48</v>
      </c>
      <c r="D5" s="9" t="n">
        <v>44335</v>
      </c>
      <c r="E5" s="9" t="n">
        <v>44341</v>
      </c>
      <c r="F5" s="10" t="s">
        <v>520</v>
      </c>
      <c r="G5" s="10" t="s">
        <v>508</v>
      </c>
      <c r="H5" s="8" t="s">
        <v>123</v>
      </c>
      <c r="I5" s="10" t="s">
        <v>521</v>
      </c>
      <c r="J5" s="10"/>
      <c r="K5" s="10" t="s">
        <v>522</v>
      </c>
      <c r="L5" s="8" t="s">
        <v>55</v>
      </c>
      <c r="M5" s="10"/>
      <c r="N5" s="10"/>
      <c r="O5" s="10"/>
      <c r="P5" s="10"/>
    </row>
    <row r="6" customFormat="false" ht="45" hidden="false" customHeight="true" outlineLevel="0" collapsed="false">
      <c r="A6" s="10" t="n">
        <v>5</v>
      </c>
      <c r="B6" s="8" t="s">
        <v>523</v>
      </c>
      <c r="C6" s="8" t="s">
        <v>48</v>
      </c>
      <c r="D6" s="9" t="n">
        <v>44515</v>
      </c>
      <c r="E6" s="9" t="n">
        <v>44515</v>
      </c>
      <c r="F6" s="10" t="s">
        <v>524</v>
      </c>
      <c r="G6" s="10" t="s">
        <v>508</v>
      </c>
      <c r="H6" s="8" t="s">
        <v>123</v>
      </c>
      <c r="I6" s="10" t="s">
        <v>525</v>
      </c>
      <c r="J6" s="8" t="s">
        <v>526</v>
      </c>
      <c r="K6" s="10" t="s">
        <v>527</v>
      </c>
      <c r="L6" s="8" t="s">
        <v>528</v>
      </c>
      <c r="M6" s="9" t="n">
        <v>44516</v>
      </c>
      <c r="N6" s="9" t="n">
        <v>44545</v>
      </c>
      <c r="O6" s="9" t="n">
        <v>44545</v>
      </c>
      <c r="P6" s="10"/>
    </row>
    <row r="7" customFormat="false" ht="45" hidden="false" customHeight="true" outlineLevel="0" collapsed="false">
      <c r="A7" s="10" t="n">
        <v>6</v>
      </c>
      <c r="B7" s="8" t="s">
        <v>529</v>
      </c>
      <c r="C7" s="8" t="s">
        <v>48</v>
      </c>
      <c r="D7" s="9" t="n">
        <v>44515</v>
      </c>
      <c r="E7" s="9" t="n">
        <v>44515</v>
      </c>
      <c r="F7" s="10" t="s">
        <v>530</v>
      </c>
      <c r="G7" s="10" t="s">
        <v>508</v>
      </c>
      <c r="H7" s="8" t="s">
        <v>123</v>
      </c>
      <c r="I7" s="10" t="s">
        <v>525</v>
      </c>
      <c r="J7" s="8" t="s">
        <v>531</v>
      </c>
      <c r="K7" s="10" t="s">
        <v>532</v>
      </c>
      <c r="L7" s="8" t="s">
        <v>528</v>
      </c>
      <c r="M7" s="9" t="n">
        <v>44516</v>
      </c>
      <c r="N7" s="9" t="n">
        <v>44545</v>
      </c>
      <c r="O7" s="9" t="n">
        <v>44545</v>
      </c>
      <c r="P7" s="10"/>
    </row>
    <row r="8" customFormat="false" ht="45" hidden="false" customHeight="true" outlineLevel="0" collapsed="false">
      <c r="A8" s="10" t="n">
        <v>7</v>
      </c>
      <c r="B8" s="8" t="s">
        <v>533</v>
      </c>
      <c r="C8" s="8" t="s">
        <v>48</v>
      </c>
      <c r="D8" s="9" t="n">
        <v>44515</v>
      </c>
      <c r="E8" s="9" t="n">
        <v>44515</v>
      </c>
      <c r="F8" s="10" t="s">
        <v>524</v>
      </c>
      <c r="G8" s="10" t="s">
        <v>508</v>
      </c>
      <c r="H8" s="8" t="s">
        <v>123</v>
      </c>
      <c r="I8" s="10" t="s">
        <v>525</v>
      </c>
      <c r="J8" s="8" t="s">
        <v>534</v>
      </c>
      <c r="K8" s="8" t="s">
        <v>535</v>
      </c>
      <c r="L8" s="8" t="s">
        <v>528</v>
      </c>
      <c r="M8" s="9" t="n">
        <v>44516</v>
      </c>
      <c r="N8" s="9" t="n">
        <v>44545</v>
      </c>
      <c r="O8" s="9" t="n">
        <v>44545</v>
      </c>
      <c r="P8" s="10"/>
    </row>
    <row r="9" customFormat="false" ht="45" hidden="false" customHeight="true" outlineLevel="0" collapsed="false">
      <c r="A9" s="10" t="n">
        <v>8</v>
      </c>
      <c r="B9" s="8" t="s">
        <v>536</v>
      </c>
      <c r="C9" s="8" t="s">
        <v>48</v>
      </c>
      <c r="D9" s="9" t="n">
        <v>44575</v>
      </c>
      <c r="E9" s="9" t="n">
        <v>44607</v>
      </c>
      <c r="F9" s="8" t="s">
        <v>537</v>
      </c>
      <c r="G9" s="10" t="s">
        <v>508</v>
      </c>
      <c r="H9" s="8" t="s">
        <v>86</v>
      </c>
      <c r="I9" s="10" t="s">
        <v>538</v>
      </c>
      <c r="J9" s="8" t="s">
        <v>153</v>
      </c>
      <c r="K9" s="10" t="s">
        <v>539</v>
      </c>
      <c r="L9" s="8" t="s">
        <v>528</v>
      </c>
      <c r="M9" s="9" t="n">
        <v>44614</v>
      </c>
      <c r="N9" s="9" t="n">
        <v>44696</v>
      </c>
      <c r="O9" s="9" t="n">
        <v>44696</v>
      </c>
      <c r="P9" s="10"/>
    </row>
    <row r="10" customFormat="false" ht="45" hidden="false" customHeight="true" outlineLevel="0" collapsed="false">
      <c r="A10" s="10" t="n">
        <v>9</v>
      </c>
      <c r="B10" s="8" t="s">
        <v>540</v>
      </c>
      <c r="C10" s="8" t="s">
        <v>48</v>
      </c>
      <c r="D10" s="9" t="n">
        <v>44696</v>
      </c>
      <c r="E10" s="9" t="n">
        <v>44706</v>
      </c>
      <c r="F10" s="10" t="s">
        <v>541</v>
      </c>
      <c r="G10" s="10" t="s">
        <v>508</v>
      </c>
      <c r="H10" s="8" t="s">
        <v>86</v>
      </c>
      <c r="I10" s="10" t="s">
        <v>542</v>
      </c>
      <c r="J10" s="8" t="s">
        <v>153</v>
      </c>
      <c r="K10" s="10" t="s">
        <v>543</v>
      </c>
      <c r="L10" s="8" t="s">
        <v>528</v>
      </c>
      <c r="M10" s="9" t="n">
        <v>44706</v>
      </c>
      <c r="N10" s="9" t="n">
        <v>44706</v>
      </c>
      <c r="O10" s="9" t="n">
        <v>44706</v>
      </c>
      <c r="P10" s="10"/>
    </row>
    <row r="11" customFormat="false" ht="45" hidden="false" customHeight="true" outlineLevel="0" collapsed="false">
      <c r="A11" s="10" t="n">
        <v>10</v>
      </c>
      <c r="B11" s="8" t="s">
        <v>544</v>
      </c>
      <c r="C11" s="8" t="s">
        <v>48</v>
      </c>
      <c r="D11" s="9" t="n">
        <v>44659</v>
      </c>
      <c r="E11" s="9" t="n">
        <v>44817</v>
      </c>
      <c r="F11" s="10" t="s">
        <v>545</v>
      </c>
      <c r="G11" s="10" t="s">
        <v>546</v>
      </c>
      <c r="H11" s="8" t="s">
        <v>51</v>
      </c>
      <c r="I11" s="10" t="s">
        <v>547</v>
      </c>
      <c r="J11" s="8" t="s">
        <v>153</v>
      </c>
      <c r="K11" s="10" t="s">
        <v>548</v>
      </c>
      <c r="L11" s="8" t="s">
        <v>56</v>
      </c>
      <c r="M11" s="9" t="n">
        <v>44858</v>
      </c>
      <c r="N11" s="9" t="n">
        <v>44858</v>
      </c>
      <c r="O11" s="9" t="n">
        <v>44858</v>
      </c>
      <c r="P11" s="10"/>
    </row>
    <row r="12" customFormat="false" ht="45" hidden="false" customHeight="true" outlineLevel="0" collapsed="false">
      <c r="A12" s="10" t="n">
        <v>11</v>
      </c>
      <c r="B12" s="8" t="s">
        <v>549</v>
      </c>
      <c r="C12" s="8" t="s">
        <v>48</v>
      </c>
      <c r="D12" s="9" t="n">
        <v>44799</v>
      </c>
      <c r="E12" s="9" t="n">
        <v>44866</v>
      </c>
      <c r="F12" s="10" t="s">
        <v>550</v>
      </c>
      <c r="G12" s="10" t="s">
        <v>546</v>
      </c>
      <c r="H12" s="8" t="s">
        <v>86</v>
      </c>
      <c r="I12" s="10"/>
      <c r="J12" s="8" t="s">
        <v>551</v>
      </c>
      <c r="K12" s="10" t="s">
        <v>552</v>
      </c>
      <c r="L12" s="8" t="s">
        <v>55</v>
      </c>
      <c r="M12" s="9" t="n">
        <v>44879</v>
      </c>
      <c r="N12" s="10"/>
      <c r="O12" s="10"/>
      <c r="P12" s="10"/>
    </row>
    <row r="13" customFormat="false" ht="45" hidden="false" customHeight="true" outlineLevel="0" collapsed="false">
      <c r="A13" s="10" t="n">
        <v>12</v>
      </c>
      <c r="B13" s="8" t="s">
        <v>553</v>
      </c>
      <c r="C13" s="8" t="s">
        <v>48</v>
      </c>
      <c r="D13" s="9" t="n">
        <v>44890</v>
      </c>
      <c r="E13" s="9" t="n">
        <v>44921</v>
      </c>
      <c r="F13" s="10" t="s">
        <v>554</v>
      </c>
      <c r="G13" s="10" t="s">
        <v>546</v>
      </c>
      <c r="H13" s="8" t="s">
        <v>123</v>
      </c>
      <c r="I13" s="8" t="s">
        <v>555</v>
      </c>
      <c r="J13" s="8" t="s">
        <v>556</v>
      </c>
      <c r="K13" s="10" t="s">
        <v>557</v>
      </c>
      <c r="L13" s="8" t="s">
        <v>55</v>
      </c>
      <c r="M13" s="9" t="n">
        <v>44946</v>
      </c>
      <c r="N13" s="9" t="n">
        <v>44951</v>
      </c>
      <c r="O13" s="9" t="n">
        <v>44951</v>
      </c>
      <c r="P13" s="10"/>
    </row>
    <row r="14" customFormat="false" ht="45" hidden="false" customHeight="true" outlineLevel="0" collapsed="false">
      <c r="A14" s="10" t="n">
        <v>13</v>
      </c>
      <c r="B14" s="8" t="s">
        <v>558</v>
      </c>
      <c r="C14" s="8" t="s">
        <v>48</v>
      </c>
      <c r="D14" s="9" t="n">
        <v>44985</v>
      </c>
      <c r="E14" s="9" t="n">
        <v>44985</v>
      </c>
      <c r="F14" s="10" t="s">
        <v>559</v>
      </c>
      <c r="G14" s="10" t="s">
        <v>508</v>
      </c>
      <c r="H14" s="8" t="s">
        <v>51</v>
      </c>
      <c r="I14" s="10" t="s">
        <v>63</v>
      </c>
      <c r="J14" s="10" t="s">
        <v>63</v>
      </c>
      <c r="K14" s="10" t="s">
        <v>560</v>
      </c>
      <c r="L14" s="8" t="s">
        <v>56</v>
      </c>
      <c r="M14" s="9" t="n">
        <v>45085</v>
      </c>
      <c r="N14" s="9" t="n">
        <v>45089</v>
      </c>
      <c r="O14" s="9" t="n">
        <v>45089</v>
      </c>
      <c r="P14" s="10"/>
    </row>
    <row r="15" customFormat="false" ht="45" hidden="false" customHeight="true" outlineLevel="0" collapsed="false">
      <c r="A15" s="10" t="n">
        <v>14</v>
      </c>
      <c r="B15" s="8" t="s">
        <v>561</v>
      </c>
      <c r="C15" s="8" t="s">
        <v>48</v>
      </c>
      <c r="D15" s="9" t="n">
        <v>45100</v>
      </c>
      <c r="E15" s="9" t="n">
        <v>45100</v>
      </c>
      <c r="F15" s="10" t="s">
        <v>61</v>
      </c>
      <c r="G15" s="10" t="s">
        <v>546</v>
      </c>
      <c r="H15" s="8" t="s">
        <v>51</v>
      </c>
      <c r="I15" s="10" t="s">
        <v>63</v>
      </c>
      <c r="J15" s="10" t="s">
        <v>63</v>
      </c>
      <c r="K15" s="10" t="s">
        <v>562</v>
      </c>
      <c r="L15" s="8" t="s">
        <v>56</v>
      </c>
      <c r="M15" s="9" t="n">
        <v>45112</v>
      </c>
      <c r="N15" s="9" t="n">
        <v>45112</v>
      </c>
      <c r="O15" s="9" t="n">
        <v>45112</v>
      </c>
      <c r="P15" s="10"/>
    </row>
    <row r="16" customFormat="false" ht="45" hidden="false" customHeight="true" outlineLevel="0" collapsed="false">
      <c r="A16" s="10" t="n">
        <v>15</v>
      </c>
      <c r="B16" s="8" t="s">
        <v>563</v>
      </c>
      <c r="C16" s="8" t="s">
        <v>48</v>
      </c>
      <c r="D16" s="9" t="n">
        <v>45046</v>
      </c>
      <c r="E16" s="9" t="n">
        <v>45133</v>
      </c>
      <c r="F16" s="10" t="s">
        <v>564</v>
      </c>
      <c r="G16" s="10" t="s">
        <v>546</v>
      </c>
      <c r="H16" s="8" t="s">
        <v>51</v>
      </c>
      <c r="I16" s="8" t="s">
        <v>565</v>
      </c>
      <c r="J16" s="10" t="s">
        <v>566</v>
      </c>
      <c r="K16" s="8" t="s">
        <v>567</v>
      </c>
      <c r="L16" s="8" t="s">
        <v>56</v>
      </c>
      <c r="M16" s="9" t="n">
        <v>45160</v>
      </c>
      <c r="N16" s="10"/>
      <c r="O16" s="10"/>
      <c r="P16" s="10"/>
    </row>
    <row r="17" customFormat="false" ht="45" hidden="false" customHeight="true" outlineLevel="0" collapsed="false">
      <c r="A17" s="10" t="n">
        <v>16</v>
      </c>
      <c r="B17" s="8" t="s">
        <v>568</v>
      </c>
      <c r="C17" s="8" t="s">
        <v>48</v>
      </c>
      <c r="D17" s="9" t="n">
        <v>45232</v>
      </c>
      <c r="E17" s="9" t="n">
        <v>45232</v>
      </c>
      <c r="F17" s="10" t="s">
        <v>569</v>
      </c>
      <c r="G17" s="10" t="s">
        <v>62</v>
      </c>
      <c r="H17" s="8" t="s">
        <v>51</v>
      </c>
      <c r="I17" s="10" t="s">
        <v>63</v>
      </c>
      <c r="J17" s="10" t="s">
        <v>63</v>
      </c>
      <c r="K17" s="10" t="s">
        <v>570</v>
      </c>
      <c r="L17" s="8" t="s">
        <v>56</v>
      </c>
      <c r="M17" s="9" t="n">
        <v>45236</v>
      </c>
      <c r="N17" s="10"/>
      <c r="O17" s="10"/>
      <c r="P17" s="10"/>
    </row>
    <row r="18" customFormat="false" ht="45" hidden="false" customHeight="true" outlineLevel="0" collapsed="false">
      <c r="A18" s="10" t="n">
        <v>17</v>
      </c>
      <c r="B18" s="8" t="s">
        <v>571</v>
      </c>
      <c r="C18" s="8" t="s">
        <v>48</v>
      </c>
      <c r="D18" s="9" t="n">
        <v>45275</v>
      </c>
      <c r="E18" s="9" t="n">
        <v>45280</v>
      </c>
      <c r="F18" s="10" t="s">
        <v>572</v>
      </c>
      <c r="G18" s="10" t="s">
        <v>50</v>
      </c>
      <c r="H18" s="8" t="s">
        <v>86</v>
      </c>
      <c r="I18" s="8" t="s">
        <v>573</v>
      </c>
      <c r="J18" s="10" t="s">
        <v>574</v>
      </c>
      <c r="K18" s="10" t="s">
        <v>575</v>
      </c>
      <c r="L18" s="8" t="s">
        <v>55</v>
      </c>
      <c r="M18" s="9" t="n">
        <v>45280</v>
      </c>
      <c r="N18" s="9" t="n">
        <v>45280</v>
      </c>
      <c r="O18" s="9" t="n">
        <v>45280</v>
      </c>
      <c r="P18" s="10"/>
    </row>
    <row r="19" customFormat="false" ht="45" hidden="false" customHeight="true" outlineLevel="0" collapsed="false">
      <c r="A19" s="10" t="n">
        <v>18</v>
      </c>
      <c r="B19" s="8" t="s">
        <v>47</v>
      </c>
      <c r="C19" s="8" t="s">
        <v>48</v>
      </c>
      <c r="D19" s="9" t="n">
        <v>45307</v>
      </c>
      <c r="E19" s="9" t="n">
        <v>45307</v>
      </c>
      <c r="F19" s="10" t="s">
        <v>49</v>
      </c>
      <c r="G19" s="10" t="s">
        <v>50</v>
      </c>
      <c r="H19" s="8" t="s">
        <v>51</v>
      </c>
      <c r="I19" s="8" t="s">
        <v>52</v>
      </c>
      <c r="J19" s="8" t="s">
        <v>53</v>
      </c>
      <c r="K19" s="8" t="s">
        <v>54</v>
      </c>
      <c r="L19" s="8" t="s">
        <v>56</v>
      </c>
      <c r="M19" s="9" t="n">
        <v>45307</v>
      </c>
      <c r="N19" s="9" t="n">
        <v>45307</v>
      </c>
      <c r="O19" s="9" t="n">
        <v>45307</v>
      </c>
      <c r="P19" s="10"/>
    </row>
    <row r="20" customFormat="false" ht="45" hidden="false" customHeight="true" outlineLevel="0" collapsed="false">
      <c r="A20" s="10" t="n">
        <v>19</v>
      </c>
      <c r="B20" s="8" t="s">
        <v>60</v>
      </c>
      <c r="C20" s="8" t="s">
        <v>48</v>
      </c>
      <c r="D20" s="9" t="n">
        <v>45436</v>
      </c>
      <c r="E20" s="9" t="n">
        <v>45436</v>
      </c>
      <c r="F20" s="10" t="s">
        <v>61</v>
      </c>
      <c r="G20" s="10" t="s">
        <v>62</v>
      </c>
      <c r="H20" s="8" t="s">
        <v>51</v>
      </c>
      <c r="I20" s="10" t="s">
        <v>63</v>
      </c>
      <c r="J20" s="10" t="s">
        <v>63</v>
      </c>
      <c r="K20" s="10" t="s">
        <v>64</v>
      </c>
      <c r="L20" s="8" t="s">
        <v>56</v>
      </c>
      <c r="M20" s="9" t="n">
        <v>45439</v>
      </c>
      <c r="N20" s="9" t="n">
        <v>45439</v>
      </c>
      <c r="O20" s="9" t="n">
        <v>45439</v>
      </c>
      <c r="P20" s="10"/>
    </row>
    <row r="21" customFormat="false" ht="45" hidden="false" customHeight="true" outlineLevel="0" collapsed="false">
      <c r="A21" s="10" t="n">
        <v>1</v>
      </c>
      <c r="B21" s="8" t="s">
        <v>68</v>
      </c>
      <c r="C21" s="8" t="s">
        <v>69</v>
      </c>
      <c r="D21" s="9" t="n">
        <v>45548</v>
      </c>
      <c r="E21" s="9" t="n">
        <v>45548</v>
      </c>
      <c r="F21" s="10" t="s">
        <v>70</v>
      </c>
      <c r="G21" s="10" t="s">
        <v>50</v>
      </c>
      <c r="H21" s="8" t="s">
        <v>51</v>
      </c>
      <c r="I21" s="8" t="s">
        <v>71</v>
      </c>
      <c r="J21" s="8" t="s">
        <v>72</v>
      </c>
      <c r="K21" s="8" t="s">
        <v>73</v>
      </c>
      <c r="L21" s="8" t="s">
        <v>74</v>
      </c>
      <c r="M21" s="9" t="n">
        <v>45548</v>
      </c>
      <c r="N21" s="9" t="n">
        <v>45548</v>
      </c>
      <c r="O21" s="9" t="n">
        <v>45548</v>
      </c>
      <c r="P21" s="10"/>
    </row>
    <row r="22" customFormat="false" ht="45" hidden="false" customHeight="true" outlineLevel="0" collapsed="false">
      <c r="A22" s="10" t="n">
        <v>2</v>
      </c>
      <c r="B22" s="8" t="s">
        <v>76</v>
      </c>
      <c r="C22" s="8" t="s">
        <v>69</v>
      </c>
      <c r="D22" s="10" t="s">
        <v>77</v>
      </c>
      <c r="E22" s="9" t="n">
        <v>45608</v>
      </c>
      <c r="F22" s="10" t="s">
        <v>78</v>
      </c>
      <c r="G22" s="10" t="s">
        <v>62</v>
      </c>
      <c r="H22" s="8" t="s">
        <v>51</v>
      </c>
      <c r="I22" s="8" t="s">
        <v>52</v>
      </c>
      <c r="J22" s="10" t="s">
        <v>79</v>
      </c>
      <c r="K22" s="10" t="s">
        <v>80</v>
      </c>
      <c r="L22" s="10"/>
      <c r="M22" s="10"/>
      <c r="N22" s="10"/>
      <c r="O22" s="10"/>
      <c r="P22" s="10"/>
    </row>
    <row r="23" customFormat="false" ht="45" hidden="false" customHeight="true" outlineLevel="0" collapsed="false">
      <c r="A23" s="10" t="n">
        <v>3</v>
      </c>
      <c r="B23" s="8" t="s">
        <v>84</v>
      </c>
      <c r="C23" s="8" t="s">
        <v>69</v>
      </c>
      <c r="D23" s="9" t="n">
        <v>45617</v>
      </c>
      <c r="E23" s="9" t="n">
        <v>45617</v>
      </c>
      <c r="F23" s="10" t="s">
        <v>85</v>
      </c>
      <c r="G23" s="10" t="s">
        <v>50</v>
      </c>
      <c r="H23" s="8" t="s">
        <v>86</v>
      </c>
      <c r="I23" s="10" t="s">
        <v>87</v>
      </c>
      <c r="J23" s="10" t="s">
        <v>87</v>
      </c>
      <c r="K23" s="10"/>
      <c r="L23" s="10"/>
      <c r="M23" s="10"/>
      <c r="N23" s="10"/>
      <c r="O23" s="10"/>
      <c r="P23" s="10"/>
    </row>
    <row r="24" customFormat="false" ht="45" hidden="false" customHeight="true" outlineLevel="0" collapsed="false">
      <c r="A24" s="10" t="n">
        <v>4</v>
      </c>
      <c r="B24" s="8" t="s">
        <v>91</v>
      </c>
      <c r="C24" s="8" t="s">
        <v>69</v>
      </c>
      <c r="D24" s="9" t="n">
        <v>45650</v>
      </c>
      <c r="E24" s="9" t="n">
        <v>45650</v>
      </c>
      <c r="F24" s="10" t="s">
        <v>92</v>
      </c>
      <c r="G24" s="10" t="s">
        <v>50</v>
      </c>
      <c r="H24" s="8" t="s">
        <v>51</v>
      </c>
      <c r="I24" s="8" t="s">
        <v>52</v>
      </c>
      <c r="J24" s="10" t="s">
        <v>87</v>
      </c>
      <c r="K24" s="10" t="s">
        <v>93</v>
      </c>
      <c r="L24" s="10"/>
      <c r="M24" s="10"/>
      <c r="N24" s="10"/>
      <c r="O24" s="10"/>
      <c r="P24" s="10"/>
    </row>
    <row r="25" customFormat="false" ht="45" hidden="false" customHeight="true" outlineLevel="0" collapsed="false">
      <c r="A25" s="10" t="n">
        <v>5</v>
      </c>
      <c r="B25" s="8" t="s">
        <v>96</v>
      </c>
      <c r="C25" s="8" t="s">
        <v>69</v>
      </c>
      <c r="D25" s="9" t="n">
        <v>45713</v>
      </c>
      <c r="E25" s="9" t="n">
        <v>45714</v>
      </c>
      <c r="F25" s="10" t="s">
        <v>97</v>
      </c>
      <c r="G25" s="10" t="s">
        <v>62</v>
      </c>
      <c r="H25" s="8" t="s">
        <v>51</v>
      </c>
      <c r="I25" s="8" t="s">
        <v>98</v>
      </c>
      <c r="J25" s="10" t="s">
        <v>99</v>
      </c>
      <c r="K25" s="10" t="s">
        <v>100</v>
      </c>
      <c r="L25" s="8" t="s">
        <v>55</v>
      </c>
      <c r="M25" s="9" t="n">
        <v>45715</v>
      </c>
      <c r="N25" s="9" t="n">
        <v>45715</v>
      </c>
      <c r="O25" s="9" t="n">
        <v>45715</v>
      </c>
      <c r="P25" s="10"/>
    </row>
    <row r="26" customFormat="false" ht="45" hidden="false" customHeight="true" outlineLevel="0" collapsed="false">
      <c r="A26" s="10" t="n">
        <v>6</v>
      </c>
      <c r="B26" s="8" t="s">
        <v>102</v>
      </c>
      <c r="C26" s="8" t="s">
        <v>69</v>
      </c>
      <c r="D26" s="9" t="n">
        <v>45713</v>
      </c>
      <c r="E26" s="9" t="n">
        <v>45714</v>
      </c>
      <c r="F26" s="10" t="s">
        <v>103</v>
      </c>
      <c r="G26" s="10" t="s">
        <v>50</v>
      </c>
      <c r="H26" s="8" t="s">
        <v>86</v>
      </c>
      <c r="I26" s="8" t="s">
        <v>104</v>
      </c>
      <c r="J26" s="10" t="s">
        <v>105</v>
      </c>
      <c r="K26" s="10" t="s">
        <v>106</v>
      </c>
      <c r="L26" s="8" t="s">
        <v>55</v>
      </c>
      <c r="M26" s="9" t="n">
        <v>45715</v>
      </c>
      <c r="N26" s="9" t="n">
        <v>45715</v>
      </c>
      <c r="O26" s="9" t="n">
        <v>45715</v>
      </c>
      <c r="P26" s="10"/>
    </row>
    <row r="27" customFormat="false" ht="45" hidden="false" customHeight="true" outlineLevel="0" collapsed="false">
      <c r="A27" s="10" t="n">
        <v>7</v>
      </c>
      <c r="B27" s="8" t="s">
        <v>108</v>
      </c>
      <c r="C27" s="8" t="s">
        <v>69</v>
      </c>
      <c r="D27" s="9" t="n">
        <v>45741</v>
      </c>
      <c r="E27" s="9" t="n">
        <v>45741</v>
      </c>
      <c r="F27" s="10" t="s">
        <v>109</v>
      </c>
      <c r="G27" s="10" t="s">
        <v>62</v>
      </c>
      <c r="H27" s="8" t="s">
        <v>51</v>
      </c>
      <c r="I27" s="8" t="s">
        <v>110</v>
      </c>
      <c r="J27" s="8" t="s">
        <v>111</v>
      </c>
      <c r="K27" s="10" t="s">
        <v>112</v>
      </c>
      <c r="L27" s="8" t="s">
        <v>55</v>
      </c>
      <c r="M27" s="9" t="n">
        <v>45741</v>
      </c>
      <c r="N27" s="9" t="n">
        <v>45741</v>
      </c>
      <c r="O27" s="10"/>
      <c r="P27" s="10"/>
    </row>
    <row r="28" customFormat="false" ht="45" hidden="false" customHeight="true" outlineLevel="0" collapsed="false">
      <c r="A28" s="10" t="n">
        <v>8</v>
      </c>
      <c r="B28" s="8" t="s">
        <v>116</v>
      </c>
      <c r="C28" s="8" t="s">
        <v>69</v>
      </c>
      <c r="D28" s="9" t="n">
        <v>45810</v>
      </c>
      <c r="E28" s="9" t="n">
        <v>45810</v>
      </c>
      <c r="F28" s="10" t="s">
        <v>117</v>
      </c>
      <c r="G28" s="10" t="s">
        <v>50</v>
      </c>
      <c r="H28" s="8" t="s">
        <v>51</v>
      </c>
      <c r="I28" s="8" t="s">
        <v>118</v>
      </c>
      <c r="J28" s="8" t="s">
        <v>119</v>
      </c>
      <c r="K28" s="10" t="s">
        <v>120</v>
      </c>
      <c r="L28" s="8" t="s">
        <v>55</v>
      </c>
      <c r="M28" s="9" t="n">
        <v>45810</v>
      </c>
      <c r="N28" s="9" t="n">
        <v>45810</v>
      </c>
      <c r="O28" s="10"/>
      <c r="P28" s="10"/>
    </row>
    <row r="29" customFormat="false" ht="45" hidden="false" customHeight="true" outlineLevel="0" collapsed="false">
      <c r="A29" s="10" t="n">
        <v>9</v>
      </c>
      <c r="B29" s="8" t="s">
        <v>122</v>
      </c>
      <c r="C29" s="8" t="s">
        <v>69</v>
      </c>
      <c r="D29" s="9" t="n">
        <v>45876</v>
      </c>
      <c r="E29" s="9" t="n">
        <v>45876</v>
      </c>
      <c r="F29" s="10" t="s">
        <v>117</v>
      </c>
      <c r="G29" s="10" t="s">
        <v>62</v>
      </c>
      <c r="H29" s="8" t="s">
        <v>123</v>
      </c>
      <c r="I29" s="8" t="s">
        <v>118</v>
      </c>
      <c r="J29" s="10" t="s">
        <v>124</v>
      </c>
      <c r="K29" s="10" t="s">
        <v>125</v>
      </c>
      <c r="L29" s="8" t="s">
        <v>55</v>
      </c>
      <c r="M29" s="9" t="n">
        <v>45879</v>
      </c>
      <c r="N29" s="9" t="n">
        <v>45810</v>
      </c>
      <c r="O29" s="10"/>
      <c r="P29" s="10"/>
    </row>
    <row r="30" customFormat="false" ht="45" hidden="false" customHeight="true" outlineLevel="0" collapsed="false">
      <c r="A30" s="10" t="n">
        <v>10</v>
      </c>
      <c r="B30" s="8" t="s">
        <v>127</v>
      </c>
      <c r="C30" s="8" t="s">
        <v>69</v>
      </c>
      <c r="D30" s="9" t="n">
        <v>45852</v>
      </c>
      <c r="E30" s="9" t="n">
        <v>45882</v>
      </c>
      <c r="F30" s="10" t="s">
        <v>128</v>
      </c>
      <c r="G30" s="10" t="s">
        <v>62</v>
      </c>
      <c r="H30" s="8" t="s">
        <v>51</v>
      </c>
      <c r="I30" s="8" t="s">
        <v>118</v>
      </c>
      <c r="J30" s="10" t="s">
        <v>87</v>
      </c>
      <c r="K30" s="10" t="s">
        <v>129</v>
      </c>
      <c r="L30" s="8" t="s">
        <v>55</v>
      </c>
      <c r="M30" s="9" t="n">
        <v>45883</v>
      </c>
      <c r="N30" s="9" t="n">
        <v>45883</v>
      </c>
      <c r="O30" s="10"/>
      <c r="P30" s="10"/>
    </row>
    <row r="31" customFormat="false" ht="45" hidden="false" customHeight="true" outlineLevel="0" collapsed="false">
      <c r="A31" s="10" t="n">
        <v>11</v>
      </c>
      <c r="B31" s="8" t="s">
        <v>133</v>
      </c>
      <c r="C31" s="8" t="s">
        <v>69</v>
      </c>
      <c r="D31" s="9" t="n">
        <v>45870</v>
      </c>
      <c r="E31" s="9" t="n">
        <v>45883</v>
      </c>
      <c r="F31" s="10" t="s">
        <v>134</v>
      </c>
      <c r="G31" s="10" t="s">
        <v>62</v>
      </c>
      <c r="H31" s="8" t="s">
        <v>51</v>
      </c>
      <c r="I31" s="8" t="s">
        <v>118</v>
      </c>
      <c r="J31" s="10" t="s">
        <v>87</v>
      </c>
      <c r="K31" s="10" t="s">
        <v>135</v>
      </c>
      <c r="L31" s="8" t="s">
        <v>55</v>
      </c>
      <c r="M31" s="9" t="n">
        <v>45889</v>
      </c>
      <c r="N31" s="9" t="n">
        <v>45889</v>
      </c>
      <c r="O31" s="10"/>
      <c r="P31" s="10"/>
    </row>
    <row r="32" customFormat="false" ht="45" hidden="false" customHeight="true" outlineLevel="0" collapsed="false">
      <c r="A32" s="10" t="n">
        <v>12</v>
      </c>
      <c r="B32" s="8" t="s">
        <v>139</v>
      </c>
      <c r="C32" s="8" t="s">
        <v>69</v>
      </c>
      <c r="D32" s="9" t="n">
        <v>45754</v>
      </c>
      <c r="E32" s="9" t="n">
        <v>45905</v>
      </c>
      <c r="F32" s="10" t="s">
        <v>140</v>
      </c>
      <c r="G32" s="10" t="s">
        <v>50</v>
      </c>
      <c r="H32" s="8" t="s">
        <v>86</v>
      </c>
      <c r="I32" s="8" t="s">
        <v>118</v>
      </c>
      <c r="J32" s="10" t="s">
        <v>141</v>
      </c>
      <c r="K32" s="10"/>
      <c r="L32" s="10"/>
      <c r="M32" s="10"/>
      <c r="N32" s="10"/>
      <c r="O32" s="10"/>
      <c r="P32" s="10"/>
    </row>
    <row r="33" customFormat="false" ht="45" hidden="false" customHeight="true" outlineLevel="0" collapsed="false">
      <c r="A33" s="10" t="n">
        <v>13</v>
      </c>
      <c r="B33" s="8" t="s">
        <v>143</v>
      </c>
      <c r="C33" s="8" t="s">
        <v>69</v>
      </c>
      <c r="D33" s="9" t="n">
        <v>45912</v>
      </c>
      <c r="E33" s="9" t="n">
        <v>45916</v>
      </c>
      <c r="F33" s="10" t="s">
        <v>144</v>
      </c>
      <c r="G33" s="10" t="s">
        <v>50</v>
      </c>
      <c r="H33" s="8" t="s">
        <v>51</v>
      </c>
      <c r="I33" s="10" t="s">
        <v>145</v>
      </c>
      <c r="J33" s="8" t="s">
        <v>146</v>
      </c>
      <c r="K33" s="10" t="s">
        <v>576</v>
      </c>
      <c r="L33" s="10"/>
      <c r="M33" s="10"/>
      <c r="N33" s="10"/>
      <c r="O33" s="10"/>
      <c r="P33" s="10"/>
    </row>
    <row r="34" customFormat="false" ht="45" hidden="false" customHeight="true" outlineLevel="0" collapsed="false">
      <c r="A34" s="10" t="n">
        <v>14</v>
      </c>
      <c r="B34" s="8" t="s">
        <v>149</v>
      </c>
      <c r="C34" s="8" t="s">
        <v>69</v>
      </c>
      <c r="D34" s="10" t="s">
        <v>150</v>
      </c>
      <c r="E34" s="9" t="n">
        <v>45957</v>
      </c>
      <c r="F34" s="10" t="s">
        <v>151</v>
      </c>
      <c r="G34" s="10" t="s">
        <v>62</v>
      </c>
      <c r="H34" s="8" t="s">
        <v>51</v>
      </c>
      <c r="I34" s="10" t="s">
        <v>152</v>
      </c>
      <c r="J34" s="8" t="s">
        <v>153</v>
      </c>
      <c r="K34" s="10" t="s">
        <v>577</v>
      </c>
      <c r="L34" s="8" t="s">
        <v>55</v>
      </c>
      <c r="M34" s="10"/>
      <c r="N34" s="10"/>
      <c r="O34" s="10"/>
      <c r="P34" s="10"/>
    </row>
    <row r="35" customFormat="false" ht="45" hidden="false" customHeight="true" outlineLevel="0" collapsed="false">
      <c r="A35" s="10" t="n">
        <v>15</v>
      </c>
      <c r="B35" s="8" t="s">
        <v>158</v>
      </c>
      <c r="C35" s="8" t="s">
        <v>69</v>
      </c>
      <c r="D35" s="9" t="n">
        <v>45975</v>
      </c>
      <c r="E35" s="9" t="n">
        <v>45978</v>
      </c>
      <c r="F35" s="10" t="s">
        <v>159</v>
      </c>
      <c r="G35" s="10" t="s">
        <v>50</v>
      </c>
      <c r="H35" s="8" t="s">
        <v>51</v>
      </c>
      <c r="I35" s="8" t="s">
        <v>52</v>
      </c>
      <c r="J35" s="8" t="s">
        <v>160</v>
      </c>
      <c r="K35" s="10" t="s">
        <v>161</v>
      </c>
      <c r="L35" s="10"/>
      <c r="M35" s="10"/>
      <c r="N35" s="10"/>
      <c r="O35" s="10"/>
      <c r="P35" s="10"/>
    </row>
    <row r="36" customFormat="false" ht="45" hidden="false" customHeight="true" outlineLevel="0" collapsed="false">
      <c r="A36" s="10" t="n">
        <v>16</v>
      </c>
      <c r="B36" s="8" t="s">
        <v>164</v>
      </c>
      <c r="C36" s="8" t="s">
        <v>69</v>
      </c>
      <c r="D36" s="9" t="n">
        <v>46081</v>
      </c>
      <c r="E36" s="9" t="n">
        <v>46093</v>
      </c>
      <c r="F36" s="10" t="s">
        <v>165</v>
      </c>
      <c r="G36" s="10" t="s">
        <v>50</v>
      </c>
      <c r="H36" s="8" t="s">
        <v>86</v>
      </c>
      <c r="I36" s="10"/>
      <c r="J36" s="8" t="s">
        <v>166</v>
      </c>
      <c r="K36" s="10" t="s">
        <v>167</v>
      </c>
      <c r="L36" s="8" t="s">
        <v>55</v>
      </c>
      <c r="M36" s="10"/>
      <c r="N36" s="10"/>
      <c r="O36" s="10"/>
      <c r="P36" s="10" t="s">
        <v>168</v>
      </c>
    </row>
    <row r="37" customFormat="false" ht="45" hidden="false" customHeight="true" outlineLevel="0" collapsed="false">
      <c r="A37" s="10" t="n">
        <v>17</v>
      </c>
      <c r="B37" s="8" t="s">
        <v>170</v>
      </c>
      <c r="C37" s="8" t="s">
        <v>69</v>
      </c>
      <c r="D37" s="9" t="n">
        <v>46112</v>
      </c>
      <c r="E37" s="9" t="n">
        <v>46113</v>
      </c>
      <c r="F37" s="10" t="s">
        <v>165</v>
      </c>
      <c r="G37" s="10" t="s">
        <v>50</v>
      </c>
      <c r="H37" s="8" t="s">
        <v>51</v>
      </c>
      <c r="I37" s="8" t="s">
        <v>118</v>
      </c>
      <c r="J37" s="8" t="s">
        <v>171</v>
      </c>
      <c r="K37" s="10" t="s">
        <v>172</v>
      </c>
      <c r="L37" s="8" t="s">
        <v>55</v>
      </c>
      <c r="M37" s="9" t="n">
        <v>46113</v>
      </c>
      <c r="N37" s="10"/>
      <c r="O37" s="10"/>
      <c r="P37" s="10" t="s">
        <v>173</v>
      </c>
    </row>
    <row r="38" customFormat="false" ht="45" hidden="false" customHeight="true" outlineLevel="0" collapsed="false">
      <c r="A38" s="10" t="n">
        <v>18</v>
      </c>
      <c r="B38" s="8" t="s">
        <v>176</v>
      </c>
      <c r="C38" s="8" t="s">
        <v>69</v>
      </c>
      <c r="D38" s="9" t="n">
        <v>46136</v>
      </c>
      <c r="E38" s="9" t="n">
        <v>46140</v>
      </c>
      <c r="F38" s="10" t="s">
        <v>159</v>
      </c>
      <c r="G38" s="10" t="s">
        <v>50</v>
      </c>
      <c r="H38" s="8" t="s">
        <v>51</v>
      </c>
      <c r="I38" s="10" t="s">
        <v>177</v>
      </c>
      <c r="J38" s="8" t="s">
        <v>178</v>
      </c>
      <c r="K38" s="10" t="s">
        <v>179</v>
      </c>
      <c r="L38" s="8" t="s">
        <v>55</v>
      </c>
      <c r="M38" s="9" t="n">
        <v>46142</v>
      </c>
      <c r="N38" s="9" t="n">
        <v>46142</v>
      </c>
      <c r="O38" s="9" t="n">
        <v>46142</v>
      </c>
      <c r="P38" s="10"/>
    </row>
    <row r="39" customFormat="false" ht="45" hidden="false" customHeight="true" outlineLevel="0" collapsed="false">
      <c r="A39" s="10" t="n">
        <v>19</v>
      </c>
      <c r="B39" s="8" t="s">
        <v>181</v>
      </c>
      <c r="C39" s="8" t="s">
        <v>69</v>
      </c>
      <c r="D39" s="9" t="n">
        <v>46169</v>
      </c>
      <c r="E39" s="9" t="n">
        <v>46169</v>
      </c>
      <c r="F39" s="10" t="s">
        <v>182</v>
      </c>
      <c r="G39" s="10" t="s">
        <v>50</v>
      </c>
      <c r="H39" s="8" t="s">
        <v>51</v>
      </c>
      <c r="I39" s="8" t="s">
        <v>118</v>
      </c>
      <c r="J39" s="8" t="s">
        <v>183</v>
      </c>
      <c r="K39" s="10" t="s">
        <v>184</v>
      </c>
      <c r="L39" s="8" t="s">
        <v>55</v>
      </c>
      <c r="M39" s="9" t="n">
        <v>46169</v>
      </c>
      <c r="N39" s="9" t="n">
        <v>46169</v>
      </c>
      <c r="O39" s="9" t="n">
        <v>46169</v>
      </c>
      <c r="P39" s="10" t="s">
        <v>185</v>
      </c>
    </row>
    <row r="40" customFormat="false" ht="45" hidden="false" customHeight="true" outlineLevel="0" collapsed="false">
      <c r="A40" s="10" t="n">
        <v>20</v>
      </c>
      <c r="B40" s="8" t="s">
        <v>187</v>
      </c>
      <c r="C40" s="8" t="s">
        <v>69</v>
      </c>
      <c r="D40" s="9" t="n">
        <v>46137</v>
      </c>
      <c r="E40" s="9" t="n">
        <v>46169</v>
      </c>
      <c r="F40" s="10" t="s">
        <v>188</v>
      </c>
      <c r="G40" s="10" t="s">
        <v>50</v>
      </c>
      <c r="H40" s="8" t="s">
        <v>51</v>
      </c>
      <c r="I40" s="10" t="s">
        <v>189</v>
      </c>
      <c r="J40" s="8" t="s">
        <v>190</v>
      </c>
      <c r="K40" s="10" t="s">
        <v>191</v>
      </c>
      <c r="L40" s="8" t="s">
        <v>55</v>
      </c>
      <c r="M40" s="9" t="n">
        <v>46175</v>
      </c>
      <c r="N40" s="9" t="n">
        <v>46176</v>
      </c>
      <c r="O40" s="10"/>
      <c r="P40" s="10" t="s">
        <v>192</v>
      </c>
    </row>
    <row r="41" customFormat="false" ht="45" hidden="false" customHeight="true" outlineLevel="0" collapsed="false">
      <c r="A41" s="10" t="n">
        <v>21</v>
      </c>
      <c r="B41" s="8" t="s">
        <v>194</v>
      </c>
      <c r="C41" s="8" t="s">
        <v>69</v>
      </c>
      <c r="D41" s="9" t="n">
        <v>46167</v>
      </c>
      <c r="E41" s="9" t="n">
        <v>46189</v>
      </c>
      <c r="F41" s="10" t="s">
        <v>182</v>
      </c>
      <c r="G41" s="10" t="s">
        <v>50</v>
      </c>
      <c r="H41" s="8" t="s">
        <v>51</v>
      </c>
      <c r="I41" s="8" t="s">
        <v>118</v>
      </c>
      <c r="J41" s="8" t="s">
        <v>195</v>
      </c>
      <c r="K41" s="10" t="s">
        <v>196</v>
      </c>
      <c r="L41" s="8" t="s">
        <v>55</v>
      </c>
      <c r="M41" s="9" t="n">
        <v>46189</v>
      </c>
      <c r="N41" s="9" t="n">
        <v>46189</v>
      </c>
      <c r="O41" s="9" t="n">
        <v>46189</v>
      </c>
      <c r="P41" s="10" t="s">
        <v>197</v>
      </c>
    </row>
    <row r="42" customFormat="false" ht="45" hidden="false" customHeight="true" outlineLevel="0" collapsed="false">
      <c r="A42" s="10" t="n">
        <v>22</v>
      </c>
      <c r="B42" s="8" t="s">
        <v>199</v>
      </c>
      <c r="C42" s="8" t="s">
        <v>69</v>
      </c>
      <c r="D42" s="9" t="n">
        <v>46127</v>
      </c>
      <c r="E42" s="9" t="n">
        <v>46192</v>
      </c>
      <c r="F42" s="10" t="s">
        <v>200</v>
      </c>
      <c r="G42" s="10" t="s">
        <v>50</v>
      </c>
      <c r="H42" s="8" t="s">
        <v>51</v>
      </c>
      <c r="I42" s="8" t="s">
        <v>52</v>
      </c>
      <c r="J42" s="8" t="s">
        <v>201</v>
      </c>
      <c r="K42" s="10" t="s">
        <v>202</v>
      </c>
      <c r="L42" s="8" t="s">
        <v>55</v>
      </c>
      <c r="M42" s="9" t="n">
        <v>46192</v>
      </c>
      <c r="N42" s="9" t="n">
        <v>46192</v>
      </c>
      <c r="O42" s="9" t="n">
        <v>46192</v>
      </c>
      <c r="P42" s="10" t="s">
        <v>578</v>
      </c>
    </row>
    <row r="43" customFormat="false" ht="45" hidden="false" customHeight="true" outlineLevel="0" collapsed="false">
      <c r="A43" s="10" t="n">
        <v>23</v>
      </c>
      <c r="B43" s="8" t="s">
        <v>205</v>
      </c>
      <c r="C43" s="8" t="s">
        <v>69</v>
      </c>
      <c r="D43" s="9" t="n">
        <v>46142</v>
      </c>
      <c r="E43" s="9" t="n">
        <v>46191</v>
      </c>
      <c r="F43" s="10" t="s">
        <v>206</v>
      </c>
      <c r="G43" s="10" t="s">
        <v>62</v>
      </c>
      <c r="H43" s="8" t="s">
        <v>51</v>
      </c>
      <c r="I43" s="10" t="s">
        <v>207</v>
      </c>
      <c r="J43" s="10" t="s">
        <v>207</v>
      </c>
      <c r="K43" s="10" t="s">
        <v>208</v>
      </c>
      <c r="L43" s="8" t="s">
        <v>55</v>
      </c>
      <c r="M43" s="9" t="n">
        <v>46192</v>
      </c>
      <c r="N43" s="9" t="n">
        <v>46192</v>
      </c>
      <c r="O43" s="10"/>
      <c r="P43" s="10" t="s">
        <v>209</v>
      </c>
    </row>
    <row r="44" customFormat="false" ht="45" hidden="false" customHeight="true" outlineLevel="0" collapsed="false">
      <c r="A44" s="10" t="n">
        <v>24</v>
      </c>
      <c r="B44" s="8" t="s">
        <v>211</v>
      </c>
      <c r="C44" s="8" t="s">
        <v>69</v>
      </c>
      <c r="D44" s="9" t="n">
        <v>45839</v>
      </c>
      <c r="E44" s="9" t="n">
        <v>46225</v>
      </c>
      <c r="F44" s="8" t="s">
        <v>212</v>
      </c>
      <c r="G44" s="10" t="s">
        <v>50</v>
      </c>
      <c r="H44" s="8" t="s">
        <v>51</v>
      </c>
      <c r="I44" s="10" t="s">
        <v>213</v>
      </c>
      <c r="J44" s="10" t="s">
        <v>214</v>
      </c>
      <c r="K44" s="10" t="s">
        <v>215</v>
      </c>
      <c r="L44" s="8" t="s">
        <v>55</v>
      </c>
      <c r="M44" s="9" t="n">
        <v>46225</v>
      </c>
      <c r="N44" s="9" t="n">
        <v>46234</v>
      </c>
      <c r="O44" s="10"/>
      <c r="P44" s="10" t="s">
        <v>216</v>
      </c>
    </row>
    <row r="45" customFormat="false" ht="45" hidden="false" customHeight="true" outlineLevel="0" collapsed="false">
      <c r="A45" s="10" t="n">
        <v>25</v>
      </c>
      <c r="B45" s="8" t="s">
        <v>218</v>
      </c>
      <c r="C45" s="8" t="s">
        <v>69</v>
      </c>
      <c r="D45" s="9" t="n">
        <v>46227</v>
      </c>
      <c r="E45" s="9" t="n">
        <v>46227</v>
      </c>
      <c r="F45" s="10" t="s">
        <v>219</v>
      </c>
      <c r="G45" s="10" t="s">
        <v>50</v>
      </c>
      <c r="H45" s="8" t="s">
        <v>51</v>
      </c>
      <c r="I45" s="10" t="s">
        <v>220</v>
      </c>
      <c r="J45" s="10" t="s">
        <v>87</v>
      </c>
      <c r="K45" s="10"/>
      <c r="L45" s="10"/>
      <c r="M45" s="10"/>
      <c r="N45" s="10"/>
      <c r="O45" s="10"/>
      <c r="P45" s="10"/>
    </row>
    <row r="46" customFormat="false" ht="45" hidden="false" customHeight="true" outlineLevel="0" collapsed="false">
      <c r="A46" s="10" t="n">
        <v>26</v>
      </c>
      <c r="B46" s="8" t="s">
        <v>222</v>
      </c>
      <c r="C46" s="8" t="s">
        <v>69</v>
      </c>
      <c r="D46" s="9" t="n">
        <v>46241</v>
      </c>
      <c r="E46" s="9" t="n">
        <v>46241</v>
      </c>
      <c r="F46" s="10" t="s">
        <v>223</v>
      </c>
      <c r="G46" s="10" t="s">
        <v>62</v>
      </c>
      <c r="H46" s="8" t="s">
        <v>86</v>
      </c>
      <c r="I46" s="8" t="s">
        <v>52</v>
      </c>
      <c r="J46" s="10"/>
      <c r="K46" s="10" t="s">
        <v>224</v>
      </c>
      <c r="L46" s="8" t="s">
        <v>55</v>
      </c>
      <c r="M46" s="10"/>
      <c r="N46" s="10"/>
      <c r="O46" s="10"/>
      <c r="P46" s="10"/>
    </row>
    <row r="47" customFormat="false" ht="45" hidden="false" customHeight="true" outlineLevel="0" collapsed="false">
      <c r="A47" s="10" t="n">
        <v>27</v>
      </c>
      <c r="B47" s="8" t="s">
        <v>226</v>
      </c>
      <c r="C47" s="8" t="s">
        <v>69</v>
      </c>
      <c r="D47" s="9" t="n">
        <v>46238</v>
      </c>
      <c r="E47" s="9" t="n">
        <v>46238</v>
      </c>
      <c r="F47" s="10" t="s">
        <v>227</v>
      </c>
      <c r="G47" s="10" t="s">
        <v>50</v>
      </c>
      <c r="H47" s="8" t="s">
        <v>123</v>
      </c>
      <c r="I47" s="8" t="s">
        <v>110</v>
      </c>
      <c r="J47" s="10"/>
      <c r="K47" s="10" t="s">
        <v>228</v>
      </c>
      <c r="L47" s="8" t="s">
        <v>55</v>
      </c>
      <c r="M47" s="9" t="n">
        <v>46252</v>
      </c>
      <c r="N47" s="9" t="n">
        <v>46252</v>
      </c>
      <c r="O47" s="9" t="n">
        <v>46252</v>
      </c>
      <c r="P47" s="10" t="s">
        <v>229</v>
      </c>
    </row>
    <row r="48" customFormat="false" ht="45" hidden="false" customHeight="true" outlineLevel="0" collapsed="false">
      <c r="A48" s="10" t="n">
        <v>28</v>
      </c>
      <c r="B48" s="8" t="s">
        <v>232</v>
      </c>
      <c r="C48" s="8" t="s">
        <v>69</v>
      </c>
      <c r="D48" s="9" t="n">
        <v>46252</v>
      </c>
      <c r="E48" s="9" t="n">
        <v>46252</v>
      </c>
      <c r="F48" s="10" t="s">
        <v>233</v>
      </c>
      <c r="G48" s="10" t="s">
        <v>62</v>
      </c>
      <c r="H48" s="8" t="s">
        <v>123</v>
      </c>
      <c r="I48" s="8" t="s">
        <v>52</v>
      </c>
      <c r="J48" s="10"/>
      <c r="K48" s="10" t="s">
        <v>234</v>
      </c>
      <c r="L48" s="8" t="s">
        <v>55</v>
      </c>
      <c r="M48" s="9" t="n">
        <v>46254</v>
      </c>
      <c r="N48" s="9" t="n">
        <v>46254</v>
      </c>
      <c r="O48" s="9" t="n">
        <v>46254</v>
      </c>
      <c r="P48" s="10"/>
    </row>
    <row r="49" customFormat="false" ht="45" hidden="false" customHeight="true" outlineLevel="0" collapsed="false">
      <c r="A49" s="10" t="n">
        <v>29</v>
      </c>
      <c r="B49" s="8" t="s">
        <v>236</v>
      </c>
      <c r="C49" s="8" t="s">
        <v>69</v>
      </c>
      <c r="D49" s="9" t="n">
        <v>46290</v>
      </c>
      <c r="E49" s="9" t="n">
        <v>46293</v>
      </c>
      <c r="F49" s="10" t="s">
        <v>237</v>
      </c>
      <c r="G49" s="10"/>
      <c r="H49" s="8" t="s">
        <v>51</v>
      </c>
      <c r="I49" s="8" t="s">
        <v>52</v>
      </c>
      <c r="J49" s="10" t="s">
        <v>238</v>
      </c>
      <c r="K49" s="10" t="s">
        <v>579</v>
      </c>
      <c r="L49" s="8" t="s">
        <v>55</v>
      </c>
      <c r="M49" s="9" t="n">
        <v>46293</v>
      </c>
      <c r="N49" s="9" t="n">
        <v>46293</v>
      </c>
      <c r="O49" s="9" t="n">
        <v>46293</v>
      </c>
      <c r="P49" s="10" t="s">
        <v>240</v>
      </c>
    </row>
    <row r="50" customFormat="false" ht="45" hidden="false" customHeight="true" outlineLevel="0" collapsed="false">
      <c r="A50" s="10" t="n">
        <v>30</v>
      </c>
      <c r="B50" s="8" t="s">
        <v>242</v>
      </c>
      <c r="C50" s="8" t="s">
        <v>69</v>
      </c>
      <c r="D50" s="9" t="n">
        <v>46290</v>
      </c>
      <c r="E50" s="9" t="n">
        <v>46296</v>
      </c>
      <c r="F50" s="10" t="s">
        <v>243</v>
      </c>
      <c r="G50" s="10" t="s">
        <v>50</v>
      </c>
      <c r="H50" s="8" t="s">
        <v>51</v>
      </c>
      <c r="I50" s="8" t="s">
        <v>118</v>
      </c>
      <c r="J50" s="8" t="s">
        <v>244</v>
      </c>
      <c r="K50" s="10" t="s">
        <v>245</v>
      </c>
      <c r="L50" s="8" t="s">
        <v>55</v>
      </c>
      <c r="M50" s="9" t="n">
        <v>46302</v>
      </c>
      <c r="N50" s="9" t="n">
        <v>46418</v>
      </c>
      <c r="O50" s="10"/>
      <c r="P50" s="10"/>
    </row>
    <row r="51" customFormat="false" ht="45" hidden="false" customHeight="true" outlineLevel="0" collapsed="false">
      <c r="A51" s="10" t="n">
        <v>31</v>
      </c>
      <c r="B51" s="8" t="s">
        <v>247</v>
      </c>
      <c r="C51" s="8" t="s">
        <v>69</v>
      </c>
      <c r="D51" s="9" t="n">
        <v>46290</v>
      </c>
      <c r="E51" s="9" t="n">
        <v>46296</v>
      </c>
      <c r="F51" s="10" t="s">
        <v>248</v>
      </c>
      <c r="G51" s="10" t="s">
        <v>50</v>
      </c>
      <c r="H51" s="8" t="s">
        <v>123</v>
      </c>
      <c r="I51" s="8" t="s">
        <v>118</v>
      </c>
      <c r="J51" s="10" t="s">
        <v>249</v>
      </c>
      <c r="K51" s="10"/>
      <c r="L51" s="10"/>
      <c r="M51" s="10"/>
      <c r="N51" s="10"/>
      <c r="O51" s="10"/>
      <c r="P51" s="10"/>
    </row>
    <row r="52" customFormat="false" ht="45" hidden="false" customHeight="true" outlineLevel="0" collapsed="false">
      <c r="A52" s="10" t="n">
        <v>32</v>
      </c>
      <c r="B52" s="8" t="s">
        <v>251</v>
      </c>
      <c r="C52" s="8" t="s">
        <v>69</v>
      </c>
      <c r="D52" s="9" t="n">
        <v>46296</v>
      </c>
      <c r="E52" s="9" t="n">
        <v>46303</v>
      </c>
      <c r="F52" s="10" t="s">
        <v>252</v>
      </c>
      <c r="G52" s="10" t="s">
        <v>62</v>
      </c>
      <c r="H52" s="8" t="s">
        <v>123</v>
      </c>
      <c r="I52" s="8" t="s">
        <v>253</v>
      </c>
      <c r="J52" s="10" t="s">
        <v>87</v>
      </c>
      <c r="K52" s="8" t="s">
        <v>580</v>
      </c>
      <c r="L52" s="8" t="s">
        <v>55</v>
      </c>
      <c r="M52" s="9" t="n">
        <v>46302</v>
      </c>
      <c r="N52" s="10"/>
      <c r="O52" s="10"/>
      <c r="P52" s="10" t="s">
        <v>255</v>
      </c>
    </row>
    <row r="53" customFormat="false" ht="45" hidden="false" customHeight="true" outlineLevel="0" collapsed="false">
      <c r="A53" s="10" t="n">
        <v>33</v>
      </c>
      <c r="B53" s="8" t="s">
        <v>257</v>
      </c>
      <c r="C53" s="8" t="s">
        <v>69</v>
      </c>
      <c r="D53" s="9" t="n">
        <v>46308</v>
      </c>
      <c r="E53" s="9" t="n">
        <v>46308</v>
      </c>
      <c r="F53" s="10" t="s">
        <v>258</v>
      </c>
      <c r="G53" s="10" t="s">
        <v>50</v>
      </c>
      <c r="H53" s="8" t="s">
        <v>123</v>
      </c>
      <c r="I53" s="8" t="s">
        <v>118</v>
      </c>
      <c r="J53" s="10" t="s">
        <v>87</v>
      </c>
      <c r="K53" s="10" t="s">
        <v>259</v>
      </c>
      <c r="L53" s="8" t="s">
        <v>55</v>
      </c>
      <c r="M53" s="9" t="n">
        <v>46309</v>
      </c>
      <c r="N53" s="9" t="n">
        <v>46309</v>
      </c>
      <c r="O53" s="9" t="n">
        <v>46309</v>
      </c>
      <c r="P53" s="10"/>
    </row>
  </sheetData>
  <autoFilter ref="A1:P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2026-10-28T09:41:05Z</dcterms:created>
  <dc:creator>openpyxl</dc:creator>
  <dc:description/>
  <dc:language>en-US</dc:language>
  <cp:lastModifiedBy/>
  <dcterms:modified xsi:type="dcterms:W3CDTF">2026-10-28T09:41:05Z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